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86588c229cb83e/Documents/StudPrint/"/>
    </mc:Choice>
  </mc:AlternateContent>
  <xr:revisionPtr revIDLastSave="520" documentId="8_{09445066-EF4F-403A-BDCC-1386DA6612F6}" xr6:coauthVersionLast="47" xr6:coauthVersionMax="47" xr10:uidLastSave="{BCB3C5A8-8A8B-451D-8557-2FF0C3A1A243}"/>
  <bookViews>
    <workbookView xWindow="-98" yWindow="-98" windowWidth="19396" windowHeight="11475" xr2:uid="{D2C1B5BA-DD01-4541-A6F5-99736AABD0EE}"/>
  </bookViews>
  <sheets>
    <sheet name="Off the shelf parts" sheetId="1" r:id="rId1"/>
    <sheet name="LEG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6" i="1"/>
  <c r="D13" i="1"/>
  <c r="D14" i="1"/>
  <c r="D5" i="1"/>
  <c r="D4" i="1"/>
  <c r="D9" i="1"/>
  <c r="D12" i="1"/>
  <c r="D3" i="1"/>
  <c r="D19" i="1" l="1"/>
</calcChain>
</file>

<file path=xl/sharedStrings.xml><?xml version="1.0" encoding="utf-8"?>
<sst xmlns="http://schemas.openxmlformats.org/spreadsheetml/2006/main" count="115" uniqueCount="113">
  <si>
    <t>Item</t>
  </si>
  <si>
    <t>Quantity</t>
  </si>
  <si>
    <t>Price</t>
  </si>
  <si>
    <t>Total Price</t>
  </si>
  <si>
    <t>URL</t>
  </si>
  <si>
    <t>Electronics</t>
  </si>
  <si>
    <t>Raspberry Pi Zero 2 W</t>
  </si>
  <si>
    <t>BTT SKR Pico V1.0</t>
  </si>
  <si>
    <t>https://www.aliexpress.com/item/1005007038367315.html</t>
  </si>
  <si>
    <t>https://www.aliexpress.com/item/1005008224603338.html</t>
  </si>
  <si>
    <t>https://www.aliexpress.com/item/1005006111249881.html</t>
  </si>
  <si>
    <t>Kinematics</t>
  </si>
  <si>
    <t>Toolhead</t>
  </si>
  <si>
    <t>Trianglelab V6 Extruder</t>
  </si>
  <si>
    <t>https://www.aliexpress.com/item/32844028127.html</t>
  </si>
  <si>
    <t>Total</t>
  </si>
  <si>
    <t>Nema17 HS4401</t>
  </si>
  <si>
    <t>https://www.aliexpress.com/item/1005007262049231.html</t>
  </si>
  <si>
    <t>Mean Well LRS-150-24</t>
  </si>
  <si>
    <t>BLTouch</t>
  </si>
  <si>
    <t>https://www.aliexpress.com/item/1005007554425544.html</t>
  </si>
  <si>
    <t>QTY.</t>
  </si>
  <si>
    <t>PART NUMBER</t>
  </si>
  <si>
    <t>ITEM NO.</t>
  </si>
  <si>
    <t>LEGO</t>
  </si>
  <si>
    <t>https://www.aliexpress.com/item/1005010502837975.html</t>
  </si>
  <si>
    <t>Ender 3 Limit Switch x3</t>
  </si>
  <si>
    <t>https://www.aliexpress.com/item/1005002538357279.html</t>
  </si>
  <si>
    <t>ECAS04</t>
  </si>
  <si>
    <t>1</t>
  </si>
  <si>
    <t>lego2x6_red</t>
  </si>
  <si>
    <t>2</t>
  </si>
  <si>
    <t>legop2x16_red</t>
  </si>
  <si>
    <t>3</t>
  </si>
  <si>
    <t>legop1x2_red</t>
  </si>
  <si>
    <t>4</t>
  </si>
  <si>
    <t>legop2x2_red</t>
  </si>
  <si>
    <t>5</t>
  </si>
  <si>
    <t>legop2x4_red</t>
  </si>
  <si>
    <t>6</t>
  </si>
  <si>
    <r>
      <t xml:space="preserve">Brick with Hole for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Worm Screw 6L</t>
    </r>
  </si>
  <si>
    <t>7</t>
  </si>
  <si>
    <t>legop2x3_red</t>
  </si>
  <si>
    <t>8</t>
  </si>
  <si>
    <t>1x2_2x2_bracket</t>
  </si>
  <si>
    <t>9</t>
  </si>
  <si>
    <t>lego1x2_red</t>
  </si>
  <si>
    <t>10</t>
  </si>
  <si>
    <t>11</t>
  </si>
  <si>
    <t>12</t>
  </si>
  <si>
    <t>lego2x3_red</t>
  </si>
  <si>
    <t>13</t>
  </si>
  <si>
    <t>14</t>
  </si>
  <si>
    <t>15</t>
  </si>
  <si>
    <t>lego2x2_red</t>
  </si>
  <si>
    <t>16</t>
  </si>
  <si>
    <t>lego2x4_red</t>
  </si>
  <si>
    <t>17</t>
  </si>
  <si>
    <t>legop1x4_red</t>
  </si>
  <si>
    <t>18</t>
  </si>
  <si>
    <t>19</t>
  </si>
  <si>
    <t>20</t>
  </si>
  <si>
    <t>21</t>
  </si>
  <si>
    <t>22</t>
  </si>
  <si>
    <t>23</t>
  </si>
  <si>
    <t>legop2x6_red</t>
  </si>
  <si>
    <t>24</t>
  </si>
  <si>
    <t>legop2x8_red</t>
  </si>
  <si>
    <t>25</t>
  </si>
  <si>
    <t>lego1x2_hole</t>
  </si>
  <si>
    <t>Technic Axle Pin</t>
  </si>
  <si>
    <t>lego1x6_red</t>
  </si>
  <si>
    <t>lego1x4_red</t>
  </si>
  <si>
    <t>plate_4x4_corner</t>
  </si>
  <si>
    <t>legop_1x2_2_clips</t>
  </si>
  <si>
    <t>legop_1x2_handle</t>
  </si>
  <si>
    <t>Bricklink URL</t>
  </si>
  <si>
    <t>Axle 2L Notched</t>
  </si>
  <si>
    <t>26</t>
  </si>
  <si>
    <t>https://www.bricklink.com/catalogItem.asp?P=2456</t>
  </si>
  <si>
    <t>https://www.bricklink.com/catalogItem.asp?P=3022</t>
  </si>
  <si>
    <t>https://www.bricklink.com/catalogItem.asp?P=55981</t>
  </si>
  <si>
    <t>https://www.bricklink.com/catalogItem.asp?P=3700</t>
  </si>
  <si>
    <t>https://www.bricklink.com/catalogItem.asp?P=43093</t>
  </si>
  <si>
    <t>https://www.bricklink.com/catalogItem.asp?P=3010</t>
  </si>
  <si>
    <t>https://www.bricklink.com/catalogItem.asp?P=4282</t>
  </si>
  <si>
    <t>https://www.bricklink.com/catalogItem.asp?P=3023</t>
  </si>
  <si>
    <t>https://www.bricklink.com/catalogItem.asp?P=3020</t>
  </si>
  <si>
    <t>https://www.bricklink.com/catalogItem.asp?P=73764</t>
  </si>
  <si>
    <t>https://www.bricklink.com/catalogItem.asp?P=3021</t>
  </si>
  <si>
    <t>https://www.bricklink.com/catalogItem.asp?P=44728</t>
  </si>
  <si>
    <t>https://www.bricklink.com/catalogItem.asp?P=3004</t>
  </si>
  <si>
    <t>https://www.bricklink.com/catalogItem.asp?P=3002</t>
  </si>
  <si>
    <t>https://www.bricklink.com/catalogItem.asp?P=3003</t>
  </si>
  <si>
    <t>https://www.bricklink.com/catalogItem.asp?P=3001</t>
  </si>
  <si>
    <t>https://www.bricklink.com/catalogItem.asp?P=3710</t>
  </si>
  <si>
    <t>https://www.bricklink.com/catalogItem.asp?P=3795</t>
  </si>
  <si>
    <t>https://www.bricklink.com/catalogItem.asp?P=73763</t>
  </si>
  <si>
    <t>https://www.bricklink.com/catalogItem.asp?P=3009</t>
  </si>
  <si>
    <t>https://www.bricklink.com/catalogItem.asp?P=2639</t>
  </si>
  <si>
    <t>https://www.bricklink.com/catalogItem.asp?P=60470</t>
  </si>
  <si>
    <t>https://www.bricklink.com/catalogItem.asp?P=3034</t>
  </si>
  <si>
    <t>Wheel Rim</t>
  </si>
  <si>
    <t>27</t>
  </si>
  <si>
    <t>Wheel Tire</t>
  </si>
  <si>
    <t>https://www.bricklink.com/catalogItem.asp?P=92402</t>
  </si>
  <si>
    <t>https://www.bricklink.com/catalogItem.asp?P=4488</t>
  </si>
  <si>
    <t>Wheel Connector</t>
  </si>
  <si>
    <t>https://www.bricklink.com/catalogItem.asp?P=32062</t>
  </si>
  <si>
    <t>Technic Worm Gear 6L</t>
  </si>
  <si>
    <t>https://www.bricklink.com/catalogItem.asp?P=48336</t>
  </si>
  <si>
    <t>Rough Estimate. Check other sheet for exact parts</t>
  </si>
  <si>
    <t>Price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</si>
</sst>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1009]* #,##0.00_-;\-[$$-1009]* #,##0.00_-;_-[$$-1009]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</font>
    <font>
      <sz val="12"/>
      <color theme="1"/>
      <name val="SWGDT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44" fontId="0" fillId="0" borderId="0" xfId="1" applyFont="1"/>
    <xf numFmtId="164" fontId="0" fillId="0" borderId="0" xfId="1" applyNumberFormat="1" applyFont="1"/>
    <xf numFmtId="0" fontId="2" fillId="2" borderId="0" xfId="0" applyFont="1" applyFill="1"/>
    <xf numFmtId="0" fontId="0" fillId="2" borderId="0" xfId="0" applyFill="1"/>
    <xf numFmtId="44" fontId="0" fillId="2" borderId="0" xfId="1" applyFont="1" applyFill="1"/>
    <xf numFmtId="164" fontId="0" fillId="2" borderId="0" xfId="1" applyNumberFormat="1" applyFont="1" applyFill="1"/>
    <xf numFmtId="0" fontId="4" fillId="2" borderId="0" xfId="2" applyFill="1"/>
    <xf numFmtId="0" fontId="2" fillId="3" borderId="0" xfId="0" applyFont="1" applyFill="1"/>
    <xf numFmtId="0" fontId="0" fillId="3" borderId="0" xfId="0" applyFill="1"/>
    <xf numFmtId="44" fontId="0" fillId="3" borderId="0" xfId="1" applyFont="1" applyFill="1"/>
    <xf numFmtId="164" fontId="0" fillId="3" borderId="0" xfId="1" applyNumberFormat="1" applyFont="1" applyFill="1"/>
    <xf numFmtId="0" fontId="3" fillId="3" borderId="0" xfId="0" applyFont="1" applyFill="1"/>
    <xf numFmtId="44" fontId="5" fillId="3" borderId="0" xfId="1" applyFont="1" applyFill="1"/>
    <xf numFmtId="0" fontId="4" fillId="3" borderId="0" xfId="2" applyFill="1"/>
    <xf numFmtId="0" fontId="2" fillId="4" borderId="0" xfId="0" applyFont="1" applyFill="1"/>
    <xf numFmtId="0" fontId="0" fillId="4" borderId="0" xfId="0" applyFill="1"/>
    <xf numFmtId="44" fontId="0" fillId="4" borderId="0" xfId="1" applyFont="1" applyFill="1"/>
    <xf numFmtId="164" fontId="0" fillId="4" borderId="0" xfId="1" applyNumberFormat="1" applyFont="1" applyFill="1"/>
    <xf numFmtId="0" fontId="3" fillId="4" borderId="0" xfId="0" applyFont="1" applyFill="1" applyAlignment="1">
      <alignment wrapText="1"/>
    </xf>
    <xf numFmtId="0" fontId="4" fillId="4" borderId="0" xfId="2" applyFill="1"/>
    <xf numFmtId="49" fontId="0" fillId="0" borderId="0" xfId="0" applyNumberForma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0" fontId="4" fillId="0" borderId="0" xfId="2"/>
    <xf numFmtId="0" fontId="0" fillId="5" borderId="0" xfId="0" applyFill="1"/>
    <xf numFmtId="44" fontId="0" fillId="5" borderId="0" xfId="1" applyFont="1" applyFill="1"/>
    <xf numFmtId="164" fontId="0" fillId="5" borderId="0" xfId="1" applyNumberFormat="1" applyFont="1" applyFill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C1C1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2538357279.html" TargetMode="External"/><Relationship Id="rId3" Type="http://schemas.openxmlformats.org/officeDocument/2006/relationships/hyperlink" Target="https://www.aliexpress.com/item/1005006111249881.html" TargetMode="External"/><Relationship Id="rId7" Type="http://schemas.openxmlformats.org/officeDocument/2006/relationships/hyperlink" Target="https://www.aliexpress.com/item/1005007554425544.html" TargetMode="External"/><Relationship Id="rId2" Type="http://schemas.openxmlformats.org/officeDocument/2006/relationships/hyperlink" Target="https://www.aliexpress.com/item/1005008224603338.html" TargetMode="External"/><Relationship Id="rId1" Type="http://schemas.openxmlformats.org/officeDocument/2006/relationships/hyperlink" Target="https://www.aliexpress.com/item/1005007038367315.html" TargetMode="External"/><Relationship Id="rId6" Type="http://schemas.openxmlformats.org/officeDocument/2006/relationships/hyperlink" Target="https://www.aliexpress.com/item/1005007262049231.html" TargetMode="External"/><Relationship Id="rId5" Type="http://schemas.openxmlformats.org/officeDocument/2006/relationships/hyperlink" Target="https://www.aliexpress.com/item/1005010502837975.html" TargetMode="External"/><Relationship Id="rId4" Type="http://schemas.openxmlformats.org/officeDocument/2006/relationships/hyperlink" Target="https://www.aliexpress.com/item/32844028127.html" TargetMode="External"/><Relationship Id="rId9" Type="http://schemas.openxmlformats.org/officeDocument/2006/relationships/hyperlink" Target="https://www.aliexpress.com/item/1005006111249881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ricklink.com/catalogItem.asp?P=44728" TargetMode="External"/><Relationship Id="rId13" Type="http://schemas.openxmlformats.org/officeDocument/2006/relationships/hyperlink" Target="https://www.bricklink.com/catalogItem.asp?P=3003" TargetMode="External"/><Relationship Id="rId18" Type="http://schemas.openxmlformats.org/officeDocument/2006/relationships/hyperlink" Target="https://www.bricklink.com/catalogItem.asp?P=73763" TargetMode="External"/><Relationship Id="rId26" Type="http://schemas.openxmlformats.org/officeDocument/2006/relationships/hyperlink" Target="https://www.bricklink.com/catalogItem.asp?P=92402" TargetMode="External"/><Relationship Id="rId3" Type="http://schemas.openxmlformats.org/officeDocument/2006/relationships/hyperlink" Target="https://www.bricklink.com/catalogItem.asp?P=3023" TargetMode="External"/><Relationship Id="rId21" Type="http://schemas.openxmlformats.org/officeDocument/2006/relationships/hyperlink" Target="https://www.bricklink.com/catalogItem.asp?P=3010" TargetMode="External"/><Relationship Id="rId7" Type="http://schemas.openxmlformats.org/officeDocument/2006/relationships/hyperlink" Target="https://www.bricklink.com/catalogItem.asp?P=3021" TargetMode="External"/><Relationship Id="rId12" Type="http://schemas.openxmlformats.org/officeDocument/2006/relationships/hyperlink" Target="https://www.bricklink.com/catalogItem.asp?P=3002" TargetMode="External"/><Relationship Id="rId17" Type="http://schemas.openxmlformats.org/officeDocument/2006/relationships/hyperlink" Target="https://www.bricklink.com/catalogItem.asp?P=3700" TargetMode="External"/><Relationship Id="rId25" Type="http://schemas.openxmlformats.org/officeDocument/2006/relationships/hyperlink" Target="https://www.bricklink.com/catalogItem.asp?P=3034" TargetMode="External"/><Relationship Id="rId2" Type="http://schemas.openxmlformats.org/officeDocument/2006/relationships/hyperlink" Target="https://www.bricklink.com/catalogItem.asp?P=4282" TargetMode="External"/><Relationship Id="rId16" Type="http://schemas.openxmlformats.org/officeDocument/2006/relationships/hyperlink" Target="https://www.bricklink.com/catalogItem.asp?P=3795" TargetMode="External"/><Relationship Id="rId20" Type="http://schemas.openxmlformats.org/officeDocument/2006/relationships/hyperlink" Target="https://www.bricklink.com/catalogItem.asp?P=3009" TargetMode="External"/><Relationship Id="rId1" Type="http://schemas.openxmlformats.org/officeDocument/2006/relationships/hyperlink" Target="https://www.bricklink.com/catalogItem.asp?P=2456" TargetMode="External"/><Relationship Id="rId6" Type="http://schemas.openxmlformats.org/officeDocument/2006/relationships/hyperlink" Target="https://www.bricklink.com/catalogItem.asp?P=73764" TargetMode="External"/><Relationship Id="rId11" Type="http://schemas.openxmlformats.org/officeDocument/2006/relationships/hyperlink" Target="https://www.bricklink.com/catalogItem.asp?P=55981" TargetMode="External"/><Relationship Id="rId24" Type="http://schemas.openxmlformats.org/officeDocument/2006/relationships/hyperlink" Target="https://www.bricklink.com/catalogItem.asp?P=48336" TargetMode="External"/><Relationship Id="rId5" Type="http://schemas.openxmlformats.org/officeDocument/2006/relationships/hyperlink" Target="https://www.bricklink.com/catalogItem.asp?P=3020" TargetMode="External"/><Relationship Id="rId15" Type="http://schemas.openxmlformats.org/officeDocument/2006/relationships/hyperlink" Target="https://www.bricklink.com/catalogItem.asp?P=3710" TargetMode="External"/><Relationship Id="rId23" Type="http://schemas.openxmlformats.org/officeDocument/2006/relationships/hyperlink" Target="https://www.bricklink.com/catalogItem.asp?P=60470" TargetMode="External"/><Relationship Id="rId10" Type="http://schemas.openxmlformats.org/officeDocument/2006/relationships/hyperlink" Target="https://www.bricklink.com/catalogItem.asp?P=4488" TargetMode="External"/><Relationship Id="rId19" Type="http://schemas.openxmlformats.org/officeDocument/2006/relationships/hyperlink" Target="https://www.bricklink.com/catalogItem.asp?P=43093" TargetMode="External"/><Relationship Id="rId4" Type="http://schemas.openxmlformats.org/officeDocument/2006/relationships/hyperlink" Target="https://www.bricklink.com/catalogItem.asp?P=3022" TargetMode="External"/><Relationship Id="rId9" Type="http://schemas.openxmlformats.org/officeDocument/2006/relationships/hyperlink" Target="https://www.bricklink.com/catalogItem.asp?P=3004" TargetMode="External"/><Relationship Id="rId14" Type="http://schemas.openxmlformats.org/officeDocument/2006/relationships/hyperlink" Target="https://www.bricklink.com/catalogItem.asp?P=3001" TargetMode="External"/><Relationship Id="rId22" Type="http://schemas.openxmlformats.org/officeDocument/2006/relationships/hyperlink" Target="https://www.bricklink.com/catalogItem.asp?P=2639" TargetMode="External"/><Relationship Id="rId27" Type="http://schemas.openxmlformats.org/officeDocument/2006/relationships/hyperlink" Target="https://www.bricklink.com/catalogItem.asp?P=320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00E0-556E-48DA-9036-6ADBC4D5DBF8}">
  <dimension ref="A1:F19"/>
  <sheetViews>
    <sheetView tabSelected="1" zoomScale="85" zoomScaleNormal="85" workbookViewId="0">
      <pane ySplit="1" topLeftCell="A2" activePane="bottomLeft" state="frozen"/>
      <selection pane="bottomLeft" activeCell="A16" sqref="A16"/>
    </sheetView>
  </sheetViews>
  <sheetFormatPr defaultColWidth="0" defaultRowHeight="14.25" x14ac:dyDescent="0.45"/>
  <cols>
    <col min="1" max="1" width="21.33203125" bestFit="1" customWidth="1"/>
    <col min="2" max="2" width="9.06640625" customWidth="1"/>
    <col min="3" max="3" width="9.06640625" style="1" customWidth="1"/>
    <col min="4" max="4" width="10.33203125" style="2" bestFit="1" customWidth="1"/>
    <col min="5" max="5" width="48.9296875" bestFit="1" customWidth="1"/>
    <col min="7" max="16384" width="9.06640625" hidden="1"/>
  </cols>
  <sheetData>
    <row r="1" spans="1:5" x14ac:dyDescent="0.45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45">
      <c r="A2" s="15" t="s">
        <v>5</v>
      </c>
      <c r="B2" s="16"/>
      <c r="C2" s="17"/>
      <c r="D2" s="18"/>
      <c r="E2" s="16"/>
    </row>
    <row r="3" spans="1:5" x14ac:dyDescent="0.45">
      <c r="A3" s="19" t="s">
        <v>7</v>
      </c>
      <c r="B3" s="16">
        <v>1</v>
      </c>
      <c r="C3" s="17">
        <v>25.79</v>
      </c>
      <c r="D3" s="18">
        <f>B3*C3</f>
        <v>25.79</v>
      </c>
      <c r="E3" s="20" t="s">
        <v>8</v>
      </c>
    </row>
    <row r="4" spans="1:5" x14ac:dyDescent="0.45">
      <c r="A4" s="19" t="s">
        <v>6</v>
      </c>
      <c r="B4" s="16">
        <v>1</v>
      </c>
      <c r="C4" s="17">
        <v>24.01</v>
      </c>
      <c r="D4" s="18">
        <f>B4*C4</f>
        <v>24.01</v>
      </c>
      <c r="E4" s="20" t="s">
        <v>9</v>
      </c>
    </row>
    <row r="5" spans="1:5" x14ac:dyDescent="0.45">
      <c r="A5" s="16" t="s">
        <v>18</v>
      </c>
      <c r="B5" s="16">
        <v>1</v>
      </c>
      <c r="C5" s="17">
        <v>23.79</v>
      </c>
      <c r="D5" s="18">
        <f>C5*B5</f>
        <v>23.79</v>
      </c>
      <c r="E5" s="20" t="s">
        <v>17</v>
      </c>
    </row>
    <row r="6" spans="1:5" x14ac:dyDescent="0.45">
      <c r="A6" s="16" t="s">
        <v>26</v>
      </c>
      <c r="B6" s="16">
        <v>1</v>
      </c>
      <c r="C6" s="17">
        <v>3.4</v>
      </c>
      <c r="D6" s="18">
        <f>C6*B6</f>
        <v>3.4</v>
      </c>
      <c r="E6" s="20" t="s">
        <v>25</v>
      </c>
    </row>
    <row r="8" spans="1:5" x14ac:dyDescent="0.45">
      <c r="A8" s="3" t="s">
        <v>11</v>
      </c>
      <c r="B8" s="4"/>
      <c r="C8" s="5"/>
      <c r="D8" s="6"/>
      <c r="E8" s="4"/>
    </row>
    <row r="9" spans="1:5" x14ac:dyDescent="0.45">
      <c r="A9" s="4" t="s">
        <v>16</v>
      </c>
      <c r="B9" s="4">
        <v>4</v>
      </c>
      <c r="C9" s="5">
        <v>7.94</v>
      </c>
      <c r="D9" s="6">
        <f t="shared" ref="D9" si="0">B9*C9</f>
        <v>31.76</v>
      </c>
      <c r="E9" s="7" t="s">
        <v>10</v>
      </c>
    </row>
    <row r="11" spans="1:5" x14ac:dyDescent="0.45">
      <c r="A11" s="8" t="s">
        <v>12</v>
      </c>
      <c r="B11" s="9"/>
      <c r="C11" s="10"/>
      <c r="D11" s="11"/>
      <c r="E11" s="9"/>
    </row>
    <row r="12" spans="1:5" s="9" customFormat="1" x14ac:dyDescent="0.45">
      <c r="A12" s="12" t="s">
        <v>13</v>
      </c>
      <c r="B12" s="9">
        <v>1</v>
      </c>
      <c r="C12" s="13">
        <v>14.67</v>
      </c>
      <c r="D12" s="11">
        <f>B12*C12</f>
        <v>14.67</v>
      </c>
      <c r="E12" s="14" t="s">
        <v>14</v>
      </c>
    </row>
    <row r="13" spans="1:5" x14ac:dyDescent="0.45">
      <c r="A13" s="9" t="s">
        <v>16</v>
      </c>
      <c r="B13" s="9">
        <v>1</v>
      </c>
      <c r="C13" s="10">
        <v>7.94</v>
      </c>
      <c r="D13" s="11">
        <f>C13*B13</f>
        <v>7.94</v>
      </c>
      <c r="E13" s="14" t="s">
        <v>10</v>
      </c>
    </row>
    <row r="14" spans="1:5" x14ac:dyDescent="0.45">
      <c r="A14" s="9" t="s">
        <v>19</v>
      </c>
      <c r="B14" s="9">
        <v>1</v>
      </c>
      <c r="C14" s="10">
        <v>7.03</v>
      </c>
      <c r="D14" s="11">
        <f t="shared" ref="D14" si="1">B14*C14</f>
        <v>7.03</v>
      </c>
      <c r="E14" s="14" t="s">
        <v>20</v>
      </c>
    </row>
    <row r="15" spans="1:5" x14ac:dyDescent="0.45">
      <c r="A15" s="9" t="s">
        <v>28</v>
      </c>
      <c r="B15" s="9">
        <v>2</v>
      </c>
      <c r="C15" s="10">
        <v>2.48</v>
      </c>
      <c r="D15" s="11">
        <f t="shared" ref="D15" si="2">B15*C15</f>
        <v>4.96</v>
      </c>
      <c r="E15" s="14" t="s">
        <v>27</v>
      </c>
    </row>
    <row r="17" spans="1:5" x14ac:dyDescent="0.45">
      <c r="A17" s="26" t="s">
        <v>24</v>
      </c>
      <c r="B17" s="26"/>
      <c r="C17" s="27"/>
      <c r="D17" s="28">
        <v>30</v>
      </c>
      <c r="E17" s="26" t="s">
        <v>111</v>
      </c>
    </row>
    <row r="19" spans="1:5" x14ac:dyDescent="0.45">
      <c r="A19" t="s">
        <v>15</v>
      </c>
      <c r="D19" s="2">
        <f>SUM(D3:D17)</f>
        <v>173.35000000000002</v>
      </c>
      <c r="E19" t="s">
        <v>112</v>
      </c>
    </row>
  </sheetData>
  <hyperlinks>
    <hyperlink ref="E3" r:id="rId1" xr:uid="{A3995EEE-1759-4C86-98D6-DFEAD37C43E2}"/>
    <hyperlink ref="E4" r:id="rId2" xr:uid="{0408EDD3-F925-499A-8118-AC3EBC8F40C7}"/>
    <hyperlink ref="E9" r:id="rId3" xr:uid="{A6E28D7D-7E0B-4C6F-BE7F-37CFED412A76}"/>
    <hyperlink ref="E12" r:id="rId4" xr:uid="{4221E09E-D09B-4A82-A8A1-EA7EF10AA021}"/>
    <hyperlink ref="E6" r:id="rId5" xr:uid="{335925B0-8D6F-4E56-87A8-5D802CFE6217}"/>
    <hyperlink ref="E5" r:id="rId6" xr:uid="{621C3E9E-5F37-466D-849C-0D5C20AF04C2}"/>
    <hyperlink ref="E14" r:id="rId7" xr:uid="{E725EF25-A042-4F7B-9775-6FC8C8ECF4A1}"/>
    <hyperlink ref="E15" r:id="rId8" xr:uid="{D13FB5E7-CA00-423F-8F96-5CBB019F645C}"/>
    <hyperlink ref="E13" r:id="rId9" xr:uid="{26CA49FA-4277-4FA5-A6B0-7A6BEB6157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AF09-BA89-4E2F-B4BE-5324A1FD6D7F}">
  <dimension ref="A1:G29"/>
  <sheetViews>
    <sheetView zoomScale="70" zoomScaleNormal="70" workbookViewId="0">
      <selection activeCell="C5" sqref="C5"/>
    </sheetView>
  </sheetViews>
  <sheetFormatPr defaultRowHeight="14.25" x14ac:dyDescent="0.45"/>
  <cols>
    <col min="1" max="1" width="10" style="21" bestFit="1" customWidth="1"/>
    <col min="2" max="2" width="24.33203125" bestFit="1" customWidth="1"/>
    <col min="3" max="3" width="5.3984375" bestFit="1" customWidth="1"/>
    <col min="4" max="4" width="54" bestFit="1" customWidth="1"/>
    <col min="5" max="5" width="14" customWidth="1"/>
    <col min="6" max="6" width="14.46484375" bestFit="1" customWidth="1"/>
  </cols>
  <sheetData>
    <row r="1" spans="1:7" ht="30.75" x14ac:dyDescent="0.45">
      <c r="A1" s="24" t="s">
        <v>23</v>
      </c>
      <c r="B1" s="22" t="s">
        <v>22</v>
      </c>
      <c r="C1" s="22" t="s">
        <v>21</v>
      </c>
      <c r="D1" s="22" t="s">
        <v>76</v>
      </c>
    </row>
    <row r="2" spans="1:7" ht="15.4" x14ac:dyDescent="0.45">
      <c r="A2" s="24" t="s">
        <v>29</v>
      </c>
      <c r="B2" s="23" t="s">
        <v>30</v>
      </c>
      <c r="C2" s="22">
        <v>48</v>
      </c>
      <c r="D2" s="25" t="s">
        <v>79</v>
      </c>
      <c r="G2" s="1"/>
    </row>
    <row r="3" spans="1:7" ht="15.4" x14ac:dyDescent="0.45">
      <c r="A3" s="24" t="s">
        <v>31</v>
      </c>
      <c r="B3" s="23" t="s">
        <v>32</v>
      </c>
      <c r="C3" s="22">
        <v>2</v>
      </c>
      <c r="D3" s="25" t="s">
        <v>85</v>
      </c>
      <c r="G3" s="1"/>
    </row>
    <row r="4" spans="1:7" ht="15.4" x14ac:dyDescent="0.45">
      <c r="A4" s="24" t="s">
        <v>33</v>
      </c>
      <c r="B4" s="23" t="s">
        <v>34</v>
      </c>
      <c r="C4" s="22">
        <v>42</v>
      </c>
      <c r="D4" s="25" t="s">
        <v>86</v>
      </c>
      <c r="G4" s="1"/>
    </row>
    <row r="5" spans="1:7" ht="15.4" x14ac:dyDescent="0.45">
      <c r="A5" s="24" t="s">
        <v>35</v>
      </c>
      <c r="B5" s="23" t="s">
        <v>36</v>
      </c>
      <c r="C5" s="22">
        <v>27</v>
      </c>
      <c r="D5" s="25" t="s">
        <v>80</v>
      </c>
      <c r="G5" s="1"/>
    </row>
    <row r="6" spans="1:7" ht="15.4" x14ac:dyDescent="0.45">
      <c r="A6" s="24" t="s">
        <v>37</v>
      </c>
      <c r="B6" s="23" t="s">
        <v>38</v>
      </c>
      <c r="C6" s="22">
        <v>34</v>
      </c>
      <c r="D6" s="25" t="s">
        <v>87</v>
      </c>
      <c r="G6" s="1"/>
    </row>
    <row r="7" spans="1:7" ht="32.25" x14ac:dyDescent="0.45">
      <c r="A7" s="24" t="s">
        <v>39</v>
      </c>
      <c r="B7" s="23" t="s">
        <v>40</v>
      </c>
      <c r="C7" s="22">
        <v>6</v>
      </c>
      <c r="D7" s="25" t="s">
        <v>88</v>
      </c>
      <c r="G7" s="1"/>
    </row>
    <row r="8" spans="1:7" ht="15.4" x14ac:dyDescent="0.45">
      <c r="A8" s="24" t="s">
        <v>41</v>
      </c>
      <c r="B8" s="23" t="s">
        <v>42</v>
      </c>
      <c r="C8" s="22">
        <v>14</v>
      </c>
      <c r="D8" s="25" t="s">
        <v>89</v>
      </c>
      <c r="G8" s="1"/>
    </row>
    <row r="9" spans="1:7" ht="15.4" x14ac:dyDescent="0.45">
      <c r="A9" s="24" t="s">
        <v>43</v>
      </c>
      <c r="B9" s="23" t="s">
        <v>44</v>
      </c>
      <c r="C9" s="22">
        <v>23</v>
      </c>
      <c r="D9" s="25" t="s">
        <v>90</v>
      </c>
      <c r="G9" s="1"/>
    </row>
    <row r="10" spans="1:7" ht="15.4" x14ac:dyDescent="0.45">
      <c r="A10" s="24" t="s">
        <v>45</v>
      </c>
      <c r="B10" s="23" t="s">
        <v>46</v>
      </c>
      <c r="C10" s="22">
        <v>14</v>
      </c>
      <c r="D10" s="25" t="s">
        <v>91</v>
      </c>
      <c r="G10" s="1"/>
    </row>
    <row r="11" spans="1:7" ht="15.4" x14ac:dyDescent="0.45">
      <c r="A11" s="24" t="s">
        <v>47</v>
      </c>
      <c r="B11" s="23" t="s">
        <v>107</v>
      </c>
      <c r="C11" s="22">
        <v>15</v>
      </c>
      <c r="D11" s="25" t="s">
        <v>106</v>
      </c>
      <c r="G11" s="1"/>
    </row>
    <row r="12" spans="1:7" ht="15.4" x14ac:dyDescent="0.45">
      <c r="A12" s="24" t="s">
        <v>48</v>
      </c>
      <c r="B12" s="23" t="s">
        <v>102</v>
      </c>
      <c r="C12" s="22">
        <v>15</v>
      </c>
      <c r="D12" s="25" t="s">
        <v>81</v>
      </c>
      <c r="G12" s="1"/>
    </row>
    <row r="13" spans="1:7" ht="15.4" x14ac:dyDescent="0.45">
      <c r="A13" s="24" t="s">
        <v>49</v>
      </c>
      <c r="B13" s="23" t="s">
        <v>104</v>
      </c>
      <c r="C13" s="22">
        <v>15</v>
      </c>
      <c r="D13" s="25" t="s">
        <v>105</v>
      </c>
      <c r="G13" s="1"/>
    </row>
    <row r="14" spans="1:7" ht="15.4" x14ac:dyDescent="0.45">
      <c r="A14" s="24" t="s">
        <v>51</v>
      </c>
      <c r="B14" s="23" t="s">
        <v>50</v>
      </c>
      <c r="C14" s="22">
        <v>15</v>
      </c>
      <c r="D14" s="25" t="s">
        <v>92</v>
      </c>
      <c r="G14" s="1"/>
    </row>
    <row r="15" spans="1:7" ht="15.4" x14ac:dyDescent="0.45">
      <c r="A15" s="24" t="s">
        <v>52</v>
      </c>
      <c r="B15" s="23" t="s">
        <v>54</v>
      </c>
      <c r="C15" s="22">
        <v>4</v>
      </c>
      <c r="D15" s="25" t="s">
        <v>93</v>
      </c>
      <c r="G15" s="1"/>
    </row>
    <row r="16" spans="1:7" ht="15.4" x14ac:dyDescent="0.45">
      <c r="A16" s="24" t="s">
        <v>53</v>
      </c>
      <c r="B16" s="30" t="s">
        <v>56</v>
      </c>
      <c r="C16" s="29">
        <v>40</v>
      </c>
      <c r="D16" s="25" t="s">
        <v>94</v>
      </c>
    </row>
    <row r="17" spans="1:7" ht="15.4" x14ac:dyDescent="0.45">
      <c r="A17" s="24" t="s">
        <v>55</v>
      </c>
      <c r="B17" s="23" t="s">
        <v>58</v>
      </c>
      <c r="C17" s="22">
        <v>2</v>
      </c>
      <c r="D17" s="25" t="s">
        <v>95</v>
      </c>
      <c r="G17" s="1"/>
    </row>
    <row r="18" spans="1:7" ht="15.4" x14ac:dyDescent="0.45">
      <c r="A18" s="24" t="s">
        <v>57</v>
      </c>
      <c r="B18" s="23" t="s">
        <v>65</v>
      </c>
      <c r="C18" s="22">
        <v>30</v>
      </c>
      <c r="D18" s="25" t="s">
        <v>96</v>
      </c>
      <c r="G18" s="1"/>
    </row>
    <row r="19" spans="1:7" ht="15.4" x14ac:dyDescent="0.45">
      <c r="A19" s="24" t="s">
        <v>59</v>
      </c>
      <c r="B19" s="23" t="s">
        <v>67</v>
      </c>
      <c r="C19" s="22">
        <v>1</v>
      </c>
      <c r="D19" s="25" t="s">
        <v>101</v>
      </c>
      <c r="G19" s="1"/>
    </row>
    <row r="20" spans="1:7" ht="15.4" x14ac:dyDescent="0.45">
      <c r="A20" s="24" t="s">
        <v>60</v>
      </c>
      <c r="B20" s="23" t="s">
        <v>69</v>
      </c>
      <c r="C20" s="22">
        <v>4</v>
      </c>
      <c r="D20" s="25" t="s">
        <v>82</v>
      </c>
      <c r="G20" s="1"/>
    </row>
    <row r="21" spans="1:7" ht="30.75" x14ac:dyDescent="0.45">
      <c r="A21" s="24" t="s">
        <v>61</v>
      </c>
      <c r="B21" s="23" t="s">
        <v>109</v>
      </c>
      <c r="C21" s="22">
        <v>13</v>
      </c>
      <c r="D21" s="25" t="s">
        <v>97</v>
      </c>
    </row>
    <row r="22" spans="1:7" ht="15.4" x14ac:dyDescent="0.45">
      <c r="A22" s="24" t="s">
        <v>62</v>
      </c>
      <c r="B22" s="23" t="s">
        <v>70</v>
      </c>
      <c r="C22" s="22">
        <v>2</v>
      </c>
      <c r="D22" s="25" t="s">
        <v>83</v>
      </c>
    </row>
    <row r="23" spans="1:7" ht="15.4" x14ac:dyDescent="0.45">
      <c r="A23" s="24" t="s">
        <v>63</v>
      </c>
      <c r="B23" s="30" t="s">
        <v>71</v>
      </c>
      <c r="C23" s="29">
        <v>2</v>
      </c>
      <c r="D23" s="25" t="s">
        <v>98</v>
      </c>
    </row>
    <row r="24" spans="1:7" ht="15.4" x14ac:dyDescent="0.45">
      <c r="A24" s="24" t="s">
        <v>64</v>
      </c>
      <c r="B24" s="30" t="s">
        <v>72</v>
      </c>
      <c r="C24" s="29">
        <v>1</v>
      </c>
      <c r="D24" s="25" t="s">
        <v>84</v>
      </c>
    </row>
    <row r="25" spans="1:7" ht="15.4" x14ac:dyDescent="0.45">
      <c r="A25" s="24" t="s">
        <v>66</v>
      </c>
      <c r="B25" s="30" t="s">
        <v>73</v>
      </c>
      <c r="C25" s="29">
        <v>5</v>
      </c>
      <c r="D25" s="25" t="s">
        <v>99</v>
      </c>
    </row>
    <row r="26" spans="1:7" ht="15.4" x14ac:dyDescent="0.45">
      <c r="A26" s="24" t="s">
        <v>68</v>
      </c>
      <c r="B26" s="30" t="s">
        <v>74</v>
      </c>
      <c r="C26" s="29">
        <v>1</v>
      </c>
      <c r="D26" s="25" t="s">
        <v>100</v>
      </c>
    </row>
    <row r="27" spans="1:7" ht="15.4" x14ac:dyDescent="0.45">
      <c r="A27" s="24" t="s">
        <v>78</v>
      </c>
      <c r="B27" s="30" t="s">
        <v>75</v>
      </c>
      <c r="C27" s="29">
        <v>1</v>
      </c>
      <c r="D27" s="25" t="s">
        <v>110</v>
      </c>
    </row>
    <row r="28" spans="1:7" ht="15.4" x14ac:dyDescent="0.45">
      <c r="A28" s="24" t="s">
        <v>103</v>
      </c>
      <c r="B28" s="23" t="s">
        <v>77</v>
      </c>
      <c r="C28" s="22">
        <v>9</v>
      </c>
      <c r="D28" s="25" t="s">
        <v>108</v>
      </c>
    </row>
    <row r="29" spans="1:7" x14ac:dyDescent="0.45">
      <c r="D29" s="25"/>
    </row>
  </sheetData>
  <phoneticPr fontId="9" type="noConversion"/>
  <hyperlinks>
    <hyperlink ref="D2" r:id="rId1" xr:uid="{A2AB28BE-B4D6-43BC-9247-DD98CAB20AAC}"/>
    <hyperlink ref="D3" r:id="rId2" xr:uid="{801A8574-5A33-4AAD-8CE8-E0C333FE05F0}"/>
    <hyperlink ref="D4" r:id="rId3" xr:uid="{CEAF640A-EA43-40CF-9BEF-5EDF4DFA1C2F}"/>
    <hyperlink ref="D5" r:id="rId4" xr:uid="{ED924CF9-D841-4A5F-B0A2-14F1A9913B35}"/>
    <hyperlink ref="D6" r:id="rId5" xr:uid="{BE102573-F808-4A61-AC6A-34CDC73CAEC4}"/>
    <hyperlink ref="D7" r:id="rId6" xr:uid="{E97AB245-EF81-4BF4-8938-5C5AA8342256}"/>
    <hyperlink ref="D8" r:id="rId7" xr:uid="{E2EAED41-E2A1-443B-A010-DE590C6DE5EA}"/>
    <hyperlink ref="D9" r:id="rId8" xr:uid="{ED1918F4-71DE-402E-A1AF-2268F163CB7E}"/>
    <hyperlink ref="D10" r:id="rId9" xr:uid="{EE4ABDA9-C3F2-49B0-857A-BC35A0760A2C}"/>
    <hyperlink ref="D11" r:id="rId10" xr:uid="{4BFCA452-10F5-41DA-BA91-D6555A5BA5FB}"/>
    <hyperlink ref="D12" r:id="rId11" xr:uid="{D2BE64A9-C51F-4695-95A2-B07B29AE8681}"/>
    <hyperlink ref="D14" r:id="rId12" xr:uid="{48DE1FF0-C40B-41CB-BFC2-69198CB4A0FF}"/>
    <hyperlink ref="D15" r:id="rId13" xr:uid="{5D2AB8A3-3862-4191-8E1D-51D58DDAB30F}"/>
    <hyperlink ref="D16" r:id="rId14" xr:uid="{FAF463F8-A999-46BF-B6E5-55CC0A86A25C}"/>
    <hyperlink ref="D17" r:id="rId15" xr:uid="{C5BB1B9D-0591-4362-8138-3F4A01418141}"/>
    <hyperlink ref="D18" r:id="rId16" xr:uid="{6EEAA25B-F434-41F1-BE1C-749900E766F6}"/>
    <hyperlink ref="D20" r:id="rId17" xr:uid="{2EA8F96C-8B72-4A02-AF22-AC38063915D7}"/>
    <hyperlink ref="D21" r:id="rId18" xr:uid="{951078D8-F7C1-4A02-9ACE-3E0CFE29A375}"/>
    <hyperlink ref="D22" r:id="rId19" xr:uid="{830C9809-B4FD-420A-88A4-024BE70E1FDD}"/>
    <hyperlink ref="D23" r:id="rId20" xr:uid="{5465B1F9-E811-4179-BF5D-2FF087543415}"/>
    <hyperlink ref="D24" r:id="rId21" xr:uid="{C4A06766-C643-4DD1-9306-D2187043025F}"/>
    <hyperlink ref="D25" r:id="rId22" xr:uid="{EE493582-3A3B-488E-B2BB-7ACA91B11028}"/>
    <hyperlink ref="D26" r:id="rId23" xr:uid="{CAD38CAC-56CF-404D-8509-DF6944050BCD}"/>
    <hyperlink ref="D27" r:id="rId24" xr:uid="{C06D38BC-527D-4D47-B49A-CB9245B6B995}"/>
    <hyperlink ref="D19" r:id="rId25" xr:uid="{F41F0905-2075-478F-97B9-9E24758BBC5F}"/>
    <hyperlink ref="D13" r:id="rId26" xr:uid="{A062309D-5443-448C-B094-BC54B870EEBA}"/>
    <hyperlink ref="D28" r:id="rId27" xr:uid="{152646EF-31E8-400C-81B3-4C6F43427D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 the shelf parts</vt:lpstr>
      <vt:lpstr>LEGO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Turaj</dc:creator>
  <cp:lastModifiedBy>Adam Turaj</cp:lastModifiedBy>
  <dcterms:created xsi:type="dcterms:W3CDTF">2026-02-13T18:50:37Z</dcterms:created>
  <dcterms:modified xsi:type="dcterms:W3CDTF">2026-03-30T01:42:43Z</dcterms:modified>
</cp:coreProperties>
</file>