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b86588c229cb83e/Documents/StudPrint/"/>
    </mc:Choice>
  </mc:AlternateContent>
  <xr:revisionPtr revIDLastSave="223" documentId="8_{09445066-EF4F-403A-BDCC-1386DA6612F6}" xr6:coauthVersionLast="47" xr6:coauthVersionMax="47" xr10:uidLastSave="{247E1203-0DD3-4603-A882-6E7F3B3BBD7A}"/>
  <bookViews>
    <workbookView xWindow="-98" yWindow="-98" windowWidth="19396" windowHeight="11475" xr2:uid="{D2C1B5BA-DD01-4541-A6F5-99736AABD0E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2" i="1"/>
  <c r="D20" i="1"/>
  <c r="D6" i="1"/>
  <c r="D14" i="1"/>
  <c r="D15" i="1"/>
  <c r="D13" i="1"/>
  <c r="D19" i="1"/>
  <c r="D4" i="1"/>
  <c r="D5" i="1"/>
  <c r="D9" i="1"/>
  <c r="D10" i="1"/>
  <c r="D11" i="1"/>
  <c r="D12" i="1"/>
  <c r="D18" i="1"/>
  <c r="D3" i="1"/>
  <c r="D25" i="1" l="1"/>
  <c r="D26" i="1" s="1"/>
  <c r="D27" i="1" s="1"/>
</calcChain>
</file>

<file path=xl/sharedStrings.xml><?xml version="1.0" encoding="utf-8"?>
<sst xmlns="http://schemas.openxmlformats.org/spreadsheetml/2006/main" count="42" uniqueCount="40">
  <si>
    <t>Item</t>
  </si>
  <si>
    <t>Quantity</t>
  </si>
  <si>
    <t>Price</t>
  </si>
  <si>
    <t>Total Price</t>
  </si>
  <si>
    <t>URL</t>
  </si>
  <si>
    <t>Electronics</t>
  </si>
  <si>
    <t>Raspberry Pi Zero 2 W</t>
  </si>
  <si>
    <t>On Hand</t>
  </si>
  <si>
    <t>BTT SKR Pico V1.0</t>
  </si>
  <si>
    <t>https://www.aliexpress.com/item/1005007038367315.html</t>
  </si>
  <si>
    <t>https://www.aliexpress.com/item/1005008224603338.html</t>
  </si>
  <si>
    <t>https://www.aliexpress.com/item/1005005114662084.html</t>
  </si>
  <si>
    <t>BTT MINI 12864 V2.0</t>
  </si>
  <si>
    <t>https://www.aliexpress.com/item/1005006111249881.html</t>
  </si>
  <si>
    <t>Kinematics</t>
  </si>
  <si>
    <t>16T 6mm B3 GT2 Idler</t>
  </si>
  <si>
    <t>16T 6mm B5 GT2 Pulley</t>
  </si>
  <si>
    <t>https://www.aliexpress.com/item/32817328238.html</t>
  </si>
  <si>
    <t>https://www.aliexpress.com/item/32781681772.html</t>
  </si>
  <si>
    <t>https://www.aliexpress.com/item/1005005216868552.html</t>
  </si>
  <si>
    <t>L2m W6mm GT2 Belts</t>
  </si>
  <si>
    <t>Toolhead</t>
  </si>
  <si>
    <t>Trianglelab V6 Extruder</t>
  </si>
  <si>
    <t>https://www.aliexpress.com/item/32844028127.html</t>
  </si>
  <si>
    <t>Subtotal</t>
  </si>
  <si>
    <t>Tax (13%)</t>
  </si>
  <si>
    <t>Parts on Hand</t>
  </si>
  <si>
    <t>Subtotal (Amount needed)</t>
  </si>
  <si>
    <t>Total</t>
  </si>
  <si>
    <t>100mm T8 Lead Screw</t>
  </si>
  <si>
    <t>https://www.aliexpress.com/item/1005007457419235.html</t>
  </si>
  <si>
    <t xml:space="preserve">Nema17 40-23 </t>
  </si>
  <si>
    <t>Nema17 HS4401</t>
  </si>
  <si>
    <t>Coupler 5-8mm</t>
  </si>
  <si>
    <t>https://www.aliexpress.com/item/1005010044030338.html</t>
  </si>
  <si>
    <t>https://www.aliexpress.com/item/1005003874936862.html</t>
  </si>
  <si>
    <t>https://www.aliexpress.com/item/1005007262049231.html</t>
  </si>
  <si>
    <t>Mean Well LRS-150-24</t>
  </si>
  <si>
    <t>BLTouch</t>
  </si>
  <si>
    <t>https://www.aliexpress.com/item/1005007554425544.html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</si>
</sst>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8" formatCode="_-[$$-1009]* #,##0.00_-;\-[$$-1009]* #,##0.00_-;_-[$$-1009]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Border="1"/>
    <xf numFmtId="44" fontId="0" fillId="0" borderId="0" xfId="1" applyFont="1"/>
    <xf numFmtId="168" fontId="0" fillId="0" borderId="0" xfId="1" applyNumberFormat="1" applyFont="1"/>
    <xf numFmtId="0" fontId="2" fillId="2" borderId="0" xfId="0" applyFont="1" applyFill="1"/>
    <xf numFmtId="0" fontId="0" fillId="2" borderId="0" xfId="0" applyFill="1"/>
    <xf numFmtId="44" fontId="0" fillId="2" borderId="0" xfId="1" applyFont="1" applyFill="1"/>
    <xf numFmtId="168" fontId="0" fillId="2" borderId="0" xfId="1" applyNumberFormat="1" applyFont="1" applyFill="1"/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2" borderId="0" xfId="2" applyFill="1"/>
    <xf numFmtId="44" fontId="5" fillId="2" borderId="0" xfId="1" applyFont="1" applyFill="1"/>
    <xf numFmtId="0" fontId="2" fillId="3" borderId="0" xfId="0" applyFont="1" applyFill="1"/>
    <xf numFmtId="0" fontId="0" fillId="3" borderId="0" xfId="0" applyFill="1"/>
    <xf numFmtId="44" fontId="0" fillId="3" borderId="0" xfId="1" applyFont="1" applyFill="1"/>
    <xf numFmtId="168" fontId="0" fillId="3" borderId="0" xfId="1" applyNumberFormat="1" applyFont="1" applyFill="1"/>
    <xf numFmtId="0" fontId="3" fillId="3" borderId="0" xfId="0" applyFont="1" applyFill="1"/>
    <xf numFmtId="44" fontId="5" fillId="3" borderId="0" xfId="1" applyFont="1" applyFill="1"/>
    <xf numFmtId="0" fontId="0" fillId="3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3" borderId="0" xfId="2" applyFill="1"/>
    <xf numFmtId="0" fontId="2" fillId="4" borderId="0" xfId="0" applyFont="1" applyFill="1"/>
    <xf numFmtId="0" fontId="0" fillId="4" borderId="0" xfId="0" applyFill="1"/>
    <xf numFmtId="44" fontId="0" fillId="4" borderId="0" xfId="1" applyFont="1" applyFill="1"/>
    <xf numFmtId="168" fontId="0" fillId="4" borderId="0" xfId="1" applyNumberFormat="1" applyFont="1" applyFill="1"/>
    <xf numFmtId="0" fontId="3" fillId="4" borderId="0" xfId="0" applyFont="1" applyFill="1" applyAlignment="1">
      <alignment wrapText="1"/>
    </xf>
    <xf numFmtId="0" fontId="6" fillId="4" borderId="0" xfId="2" applyFont="1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4" borderId="0" xfId="2" applyFill="1"/>
    <xf numFmtId="44" fontId="5" fillId="4" borderId="0" xfId="1" applyFont="1" applyFill="1"/>
    <xf numFmtId="0" fontId="0" fillId="4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colors>
    <mruColors>
      <color rgb="FFFFC1C1"/>
      <color rgb="FFFF8F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32844028127.html" TargetMode="External"/><Relationship Id="rId3" Type="http://schemas.openxmlformats.org/officeDocument/2006/relationships/hyperlink" Target="https://www.aliexpress.com/item/1005005114662084.html" TargetMode="External"/><Relationship Id="rId7" Type="http://schemas.openxmlformats.org/officeDocument/2006/relationships/hyperlink" Target="https://www.aliexpress.com/item/1005005216868552.html" TargetMode="External"/><Relationship Id="rId12" Type="http://schemas.openxmlformats.org/officeDocument/2006/relationships/hyperlink" Target="https://www.aliexpress.com/item/1005003874936862.html" TargetMode="External"/><Relationship Id="rId2" Type="http://schemas.openxmlformats.org/officeDocument/2006/relationships/hyperlink" Target="https://www.aliexpress.com/item/1005008224603338.html" TargetMode="External"/><Relationship Id="rId1" Type="http://schemas.openxmlformats.org/officeDocument/2006/relationships/hyperlink" Target="https://www.aliexpress.com/item/1005007038367315.html" TargetMode="External"/><Relationship Id="rId6" Type="http://schemas.openxmlformats.org/officeDocument/2006/relationships/hyperlink" Target="https://www.aliexpress.com/item/32781681772.html" TargetMode="External"/><Relationship Id="rId11" Type="http://schemas.openxmlformats.org/officeDocument/2006/relationships/hyperlink" Target="https://www.aliexpress.com/item/1005010044030338.html" TargetMode="External"/><Relationship Id="rId5" Type="http://schemas.openxmlformats.org/officeDocument/2006/relationships/hyperlink" Target="https://www.aliexpress.com/item/32817328238.html" TargetMode="External"/><Relationship Id="rId10" Type="http://schemas.openxmlformats.org/officeDocument/2006/relationships/hyperlink" Target="https://www.aliexpress.com/item/1005007457419235.html" TargetMode="External"/><Relationship Id="rId4" Type="http://schemas.openxmlformats.org/officeDocument/2006/relationships/hyperlink" Target="https://www.aliexpress.com/item/1005006111249881.html" TargetMode="External"/><Relationship Id="rId9" Type="http://schemas.openxmlformats.org/officeDocument/2006/relationships/hyperlink" Target="https://www.aliexpress.com/item/100500611124988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200E0-556E-48DA-9036-6ADBC4D5DBF8}">
  <dimension ref="A1:F27"/>
  <sheetViews>
    <sheetView tabSelected="1" zoomScale="85" zoomScaleNormal="85" workbookViewId="0">
      <pane ySplit="1" topLeftCell="A2" activePane="bottomLeft" state="frozen"/>
      <selection pane="bottomLeft" activeCell="F29" sqref="F29"/>
    </sheetView>
  </sheetViews>
  <sheetFormatPr defaultColWidth="0" defaultRowHeight="14.25" x14ac:dyDescent="0.45"/>
  <cols>
    <col min="1" max="1" width="21.33203125" bestFit="1" customWidth="1"/>
    <col min="2" max="2" width="9.06640625" customWidth="1"/>
    <col min="3" max="3" width="9.06640625" style="2" customWidth="1"/>
    <col min="4" max="4" width="9.06640625" style="3" customWidth="1"/>
    <col min="5" max="5" width="9.06640625" customWidth="1"/>
    <col min="6" max="6" width="48.9296875" bestFit="1" customWidth="1"/>
    <col min="7" max="16384" width="9.06640625" style="1" hidden="1"/>
  </cols>
  <sheetData>
    <row r="1" spans="1:6" x14ac:dyDescent="0.45">
      <c r="A1" t="s">
        <v>0</v>
      </c>
      <c r="B1" t="s">
        <v>1</v>
      </c>
      <c r="C1" s="2" t="s">
        <v>2</v>
      </c>
      <c r="D1" s="2" t="s">
        <v>3</v>
      </c>
      <c r="E1" t="s">
        <v>7</v>
      </c>
      <c r="F1" t="s">
        <v>4</v>
      </c>
    </row>
    <row r="2" spans="1:6" x14ac:dyDescent="0.45">
      <c r="A2" s="19" t="s">
        <v>5</v>
      </c>
      <c r="B2" s="20"/>
      <c r="C2" s="21"/>
      <c r="D2" s="22"/>
      <c r="E2" s="20"/>
      <c r="F2" s="20"/>
    </row>
    <row r="3" spans="1:6" x14ac:dyDescent="0.45">
      <c r="A3" s="23" t="s">
        <v>8</v>
      </c>
      <c r="B3" s="20">
        <v>1</v>
      </c>
      <c r="C3" s="21">
        <v>25.79</v>
      </c>
      <c r="D3" s="22">
        <f>B3*C3</f>
        <v>25.79</v>
      </c>
      <c r="E3" s="24" t="b">
        <v>0</v>
      </c>
      <c r="F3" s="25" t="s">
        <v>9</v>
      </c>
    </row>
    <row r="4" spans="1:6" x14ac:dyDescent="0.45">
      <c r="A4" s="20" t="s">
        <v>12</v>
      </c>
      <c r="B4" s="20">
        <v>1</v>
      </c>
      <c r="C4" s="26">
        <v>13.58</v>
      </c>
      <c r="D4" s="22">
        <f>B4*C4</f>
        <v>13.58</v>
      </c>
      <c r="E4" s="27" t="b">
        <v>0</v>
      </c>
      <c r="F4" s="25" t="s">
        <v>11</v>
      </c>
    </row>
    <row r="5" spans="1:6" x14ac:dyDescent="0.45">
      <c r="A5" s="23" t="s">
        <v>6</v>
      </c>
      <c r="B5" s="20">
        <v>1</v>
      </c>
      <c r="C5" s="21">
        <v>24.01</v>
      </c>
      <c r="D5" s="22">
        <f>B5*C5</f>
        <v>24.01</v>
      </c>
      <c r="E5" s="27" t="b">
        <v>0</v>
      </c>
      <c r="F5" s="25" t="s">
        <v>10</v>
      </c>
    </row>
    <row r="6" spans="1:6" x14ac:dyDescent="0.45">
      <c r="A6" s="20" t="s">
        <v>37</v>
      </c>
      <c r="B6" s="20">
        <v>1</v>
      </c>
      <c r="C6" s="21">
        <v>23.79</v>
      </c>
      <c r="D6" s="22">
        <f>C6*B6</f>
        <v>23.79</v>
      </c>
      <c r="E6" s="27" t="b">
        <v>0</v>
      </c>
      <c r="F6" s="20" t="s">
        <v>36</v>
      </c>
    </row>
    <row r="7" spans="1:6" x14ac:dyDescent="0.45">
      <c r="A7" s="1"/>
      <c r="B7" s="1"/>
      <c r="C7" s="1"/>
      <c r="D7" s="1"/>
      <c r="E7" s="1"/>
      <c r="F7" s="1"/>
    </row>
    <row r="8" spans="1:6" x14ac:dyDescent="0.45">
      <c r="A8" s="4" t="s">
        <v>14</v>
      </c>
      <c r="B8" s="5"/>
      <c r="C8" s="6"/>
      <c r="D8" s="7"/>
      <c r="E8" s="5"/>
      <c r="F8" s="5"/>
    </row>
    <row r="9" spans="1:6" x14ac:dyDescent="0.45">
      <c r="A9" s="5" t="s">
        <v>32</v>
      </c>
      <c r="B9" s="5">
        <v>2</v>
      </c>
      <c r="C9" s="6">
        <v>7.94</v>
      </c>
      <c r="D9" s="7">
        <f t="shared" ref="D9:D14" si="0">B9*C9</f>
        <v>15.88</v>
      </c>
      <c r="E9" s="8" t="b">
        <v>1</v>
      </c>
      <c r="F9" s="9" t="s">
        <v>13</v>
      </c>
    </row>
    <row r="10" spans="1:6" x14ac:dyDescent="0.45">
      <c r="A10" s="5" t="s">
        <v>15</v>
      </c>
      <c r="B10" s="5">
        <v>2</v>
      </c>
      <c r="C10" s="10">
        <v>1.62</v>
      </c>
      <c r="D10" s="7">
        <f t="shared" si="0"/>
        <v>3.24</v>
      </c>
      <c r="E10" s="8" t="b">
        <v>1</v>
      </c>
      <c r="F10" s="9" t="s">
        <v>17</v>
      </c>
    </row>
    <row r="11" spans="1:6" x14ac:dyDescent="0.45">
      <c r="A11" s="5" t="s">
        <v>16</v>
      </c>
      <c r="B11" s="5">
        <v>2</v>
      </c>
      <c r="C11" s="6">
        <v>1.62</v>
      </c>
      <c r="D11" s="7">
        <f t="shared" si="0"/>
        <v>3.24</v>
      </c>
      <c r="E11" s="8" t="b">
        <v>1</v>
      </c>
      <c r="F11" s="9" t="s">
        <v>18</v>
      </c>
    </row>
    <row r="12" spans="1:6" x14ac:dyDescent="0.45">
      <c r="A12" s="5" t="s">
        <v>20</v>
      </c>
      <c r="B12" s="5">
        <v>1</v>
      </c>
      <c r="C12" s="6">
        <v>3.01</v>
      </c>
      <c r="D12" s="7">
        <f t="shared" si="0"/>
        <v>3.01</v>
      </c>
      <c r="E12" s="8" t="b">
        <v>1</v>
      </c>
      <c r="F12" s="9" t="s">
        <v>19</v>
      </c>
    </row>
    <row r="13" spans="1:6" x14ac:dyDescent="0.45">
      <c r="A13" s="5" t="s">
        <v>29</v>
      </c>
      <c r="B13" s="5">
        <v>2</v>
      </c>
      <c r="C13" s="6">
        <v>3.1</v>
      </c>
      <c r="D13" s="7">
        <f t="shared" si="0"/>
        <v>6.2</v>
      </c>
      <c r="E13" s="8" t="b">
        <v>0</v>
      </c>
      <c r="F13" s="9" t="s">
        <v>30</v>
      </c>
    </row>
    <row r="14" spans="1:6" x14ac:dyDescent="0.45">
      <c r="A14" s="5" t="s">
        <v>33</v>
      </c>
      <c r="B14" s="5">
        <v>2</v>
      </c>
      <c r="C14" s="6">
        <v>4.8099999999999996</v>
      </c>
      <c r="D14" s="7">
        <f t="shared" si="0"/>
        <v>9.6199999999999992</v>
      </c>
      <c r="E14" s="8" t="b">
        <v>0</v>
      </c>
      <c r="F14" s="9" t="s">
        <v>34</v>
      </c>
    </row>
    <row r="15" spans="1:6" x14ac:dyDescent="0.45">
      <c r="A15" s="5" t="s">
        <v>31</v>
      </c>
      <c r="B15" s="5">
        <v>2</v>
      </c>
      <c r="C15" s="6">
        <v>6.19</v>
      </c>
      <c r="D15" s="7">
        <f>C15*B15</f>
        <v>12.38</v>
      </c>
      <c r="E15" s="8" t="b">
        <v>0</v>
      </c>
      <c r="F15" s="9" t="s">
        <v>35</v>
      </c>
    </row>
    <row r="17" spans="1:6" x14ac:dyDescent="0.45">
      <c r="A17" s="11" t="s">
        <v>21</v>
      </c>
      <c r="B17" s="12"/>
      <c r="C17" s="13"/>
      <c r="D17" s="14"/>
      <c r="E17" s="12"/>
      <c r="F17" s="12"/>
    </row>
    <row r="18" spans="1:6" x14ac:dyDescent="0.45">
      <c r="A18" s="15" t="s">
        <v>22</v>
      </c>
      <c r="B18" s="12">
        <v>1</v>
      </c>
      <c r="C18" s="16">
        <v>14.67</v>
      </c>
      <c r="D18" s="14">
        <f>B18*C18</f>
        <v>14.67</v>
      </c>
      <c r="E18" s="17" t="b">
        <v>1</v>
      </c>
      <c r="F18" s="18" t="s">
        <v>23</v>
      </c>
    </row>
    <row r="19" spans="1:6" x14ac:dyDescent="0.45">
      <c r="A19" s="12" t="s">
        <v>32</v>
      </c>
      <c r="B19" s="12">
        <v>1</v>
      </c>
      <c r="C19" s="13">
        <v>7.94</v>
      </c>
      <c r="D19" s="14">
        <f t="shared" ref="D19:D20" si="1">B19*C19</f>
        <v>7.94</v>
      </c>
      <c r="E19" s="17" t="b">
        <v>0</v>
      </c>
      <c r="F19" s="18" t="s">
        <v>13</v>
      </c>
    </row>
    <row r="20" spans="1:6" x14ac:dyDescent="0.45">
      <c r="A20" s="12" t="s">
        <v>38</v>
      </c>
      <c r="B20" s="12">
        <v>1</v>
      </c>
      <c r="C20" s="13">
        <v>7.03</v>
      </c>
      <c r="D20" s="14">
        <f t="shared" si="1"/>
        <v>7.03</v>
      </c>
      <c r="E20" s="17" t="b">
        <v>0</v>
      </c>
      <c r="F20" s="12" t="s">
        <v>39</v>
      </c>
    </row>
    <row r="21" spans="1:6" x14ac:dyDescent="0.45">
      <c r="A21" s="1"/>
      <c r="B21" s="1"/>
      <c r="C21" s="1"/>
      <c r="D21" s="1"/>
    </row>
    <row r="22" spans="1:6" x14ac:dyDescent="0.45">
      <c r="A22" t="s">
        <v>24</v>
      </c>
      <c r="D22" s="3">
        <f>SUM(D3:D20)</f>
        <v>170.37999999999997</v>
      </c>
    </row>
    <row r="24" spans="1:6" x14ac:dyDescent="0.45">
      <c r="A24" t="s">
        <v>26</v>
      </c>
      <c r="D24" s="3">
        <f>SUMIFS(D3:D20,E3:E20,TRUE)</f>
        <v>40.04</v>
      </c>
    </row>
    <row r="25" spans="1:6" x14ac:dyDescent="0.45">
      <c r="A25" t="s">
        <v>27</v>
      </c>
      <c r="D25" s="3">
        <f>D22-D24</f>
        <v>130.33999999999997</v>
      </c>
    </row>
    <row r="26" spans="1:6" x14ac:dyDescent="0.45">
      <c r="A26" t="s">
        <v>25</v>
      </c>
      <c r="D26" s="3">
        <f>D25*0.13</f>
        <v>16.944199999999999</v>
      </c>
    </row>
    <row r="27" spans="1:6" x14ac:dyDescent="0.45">
      <c r="A27" t="s">
        <v>28</v>
      </c>
      <c r="D27" s="3">
        <f>D25+D26</f>
        <v>147.28419999999997</v>
      </c>
    </row>
  </sheetData>
  <hyperlinks>
    <hyperlink ref="F3" r:id="rId1" xr:uid="{A3995EEE-1759-4C86-98D6-DFEAD37C43E2}"/>
    <hyperlink ref="F5" r:id="rId2" xr:uid="{0408EDD3-F925-499A-8118-AC3EBC8F40C7}"/>
    <hyperlink ref="F4" r:id="rId3" xr:uid="{C99CCAFE-C696-4B88-B782-5039844E351F}"/>
    <hyperlink ref="F9" r:id="rId4" xr:uid="{A6E28D7D-7E0B-4C6F-BE7F-37CFED412A76}"/>
    <hyperlink ref="F10" r:id="rId5" xr:uid="{187760C7-E7F9-4413-B186-200F4EBF4A46}"/>
    <hyperlink ref="F11" r:id="rId6" xr:uid="{0EDC45EE-05EC-45D7-999D-C31D440D046D}"/>
    <hyperlink ref="F12" r:id="rId7" xr:uid="{CE1DF818-5F58-41CF-BE20-E338A25E8B01}"/>
    <hyperlink ref="F18" r:id="rId8" xr:uid="{4221E09E-D09B-4A82-A8A1-EA7EF10AA021}"/>
    <hyperlink ref="F19" r:id="rId9" xr:uid="{4D82105B-9B29-4A8D-969D-3F6245B741EC}"/>
    <hyperlink ref="F13" r:id="rId10" xr:uid="{1930430A-4F8E-4454-AD01-92C29E8CB50B}"/>
    <hyperlink ref="F14" r:id="rId11" xr:uid="{87BC7952-7446-4372-B706-2BF2BC2146F4}"/>
    <hyperlink ref="F15" r:id="rId12" xr:uid="{6EC283FC-C42A-4D31-8836-F2BD2DEF172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Turaj</dc:creator>
  <cp:lastModifiedBy>Adam Turaj</cp:lastModifiedBy>
  <dcterms:created xsi:type="dcterms:W3CDTF">2026-02-13T18:50:37Z</dcterms:created>
  <dcterms:modified xsi:type="dcterms:W3CDTF">2026-02-13T20:29:38Z</dcterms:modified>
</cp:coreProperties>
</file>