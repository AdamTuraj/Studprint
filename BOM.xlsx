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86588c229cb83e/Documents/StudPrint/"/>
    </mc:Choice>
  </mc:AlternateContent>
  <xr:revisionPtr revIDLastSave="335" documentId="8_{09445066-EF4F-403A-BDCC-1386DA6612F6}" xr6:coauthVersionLast="47" xr6:coauthVersionMax="47" xr10:uidLastSave="{BB4E2BEF-7DA1-434D-897D-058596732EE8}"/>
  <bookViews>
    <workbookView xWindow="-98" yWindow="-98" windowWidth="19396" windowHeight="11475" activeTab="1" xr2:uid="{D2C1B5BA-DD01-4541-A6F5-99736AABD0EE}"/>
  </bookViews>
  <sheets>
    <sheet name="Off the shelf parts" sheetId="1" r:id="rId1"/>
    <sheet name="LEG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13" i="1"/>
  <c r="D5" i="1"/>
  <c r="D4" i="1"/>
  <c r="D8" i="1"/>
  <c r="D11" i="1"/>
  <c r="D3" i="1"/>
  <c r="D17" i="1" l="1"/>
  <c r="D15" i="1"/>
  <c r="D18" i="1" l="1"/>
  <c r="D19" i="1" s="1"/>
  <c r="D20" i="1" s="1"/>
</calcChain>
</file>

<file path=xl/sharedStrings.xml><?xml version="1.0" encoding="utf-8"?>
<sst xmlns="http://schemas.openxmlformats.org/spreadsheetml/2006/main" count="117" uniqueCount="117">
  <si>
    <t>Item</t>
  </si>
  <si>
    <t>Quantity</t>
  </si>
  <si>
    <t>Price</t>
  </si>
  <si>
    <t>Total Price</t>
  </si>
  <si>
    <t>URL</t>
  </si>
  <si>
    <t>Electronics</t>
  </si>
  <si>
    <t>Raspberry Pi Zero 2 W</t>
  </si>
  <si>
    <t>On Hand</t>
  </si>
  <si>
    <t>BTT SKR Pico V1.0</t>
  </si>
  <si>
    <t>https://www.aliexpress.com/item/1005007038367315.html</t>
  </si>
  <si>
    <t>https://www.aliexpress.com/item/1005008224603338.html</t>
  </si>
  <si>
    <t>https://www.aliexpress.com/item/1005006111249881.html</t>
  </si>
  <si>
    <t>Kinematics</t>
  </si>
  <si>
    <t>Toolhead</t>
  </si>
  <si>
    <t>Trianglelab V6 Extruder</t>
  </si>
  <si>
    <t>https://www.aliexpress.com/item/32844028127.html</t>
  </si>
  <si>
    <t>Subtotal</t>
  </si>
  <si>
    <t>Tax (13%)</t>
  </si>
  <si>
    <t>Parts on Hand</t>
  </si>
  <si>
    <t>Subtotal (Amount needed)</t>
  </si>
  <si>
    <t>Total</t>
  </si>
  <si>
    <t xml:space="preserve">Nema17 40-23 </t>
  </si>
  <si>
    <t>Nema17 HS4401</t>
  </si>
  <si>
    <t>https://www.aliexpress.com/item/1005003874936862.html</t>
  </si>
  <si>
    <t>https://www.aliexpress.com/item/1005007262049231.html</t>
  </si>
  <si>
    <t>Mean Well LRS-150-24</t>
  </si>
  <si>
    <t>BLTouch</t>
  </si>
  <si>
    <t>https://www.aliexpress.com/item/1005007554425544.html</t>
  </si>
  <si>
    <t>49</t>
  </si>
  <si>
    <t>legop_1x2_handle</t>
  </si>
  <si>
    <t>legop_1x2_2_clips</t>
  </si>
  <si>
    <t>42</t>
  </si>
  <si>
    <t>plate_4x4_corner</t>
  </si>
  <si>
    <t>41</t>
  </si>
  <si>
    <t>40</t>
  </si>
  <si>
    <t>lego1x4_red</t>
  </si>
  <si>
    <t>lego1x6_red</t>
  </si>
  <si>
    <t>37</t>
  </si>
  <si>
    <t>lego2x2_red</t>
  </si>
  <si>
    <t>36</t>
  </si>
  <si>
    <t>35</t>
  </si>
  <si>
    <t>lego1x2_hole</t>
  </si>
  <si>
    <t>Technic Axle Pin</t>
  </si>
  <si>
    <t>29</t>
  </si>
  <si>
    <r>
      <t xml:space="preserve">Technic Worm Gear </t>
    </r>
    <r>
      <rPr>
        <sz val="12"/>
        <color theme="1"/>
        <rFont val="SWGDT"/>
      </rPr>
      <t xml:space="preserve">
</t>
    </r>
    <r>
      <rPr>
        <sz val="12"/>
        <color theme="1"/>
        <rFont val="Century Gothic"/>
        <family val="2"/>
      </rPr>
      <t>6L</t>
    </r>
  </si>
  <si>
    <t>28</t>
  </si>
  <si>
    <t>27</t>
  </si>
  <si>
    <t>legop2x6_red</t>
  </si>
  <si>
    <t>lego2x4_red</t>
  </si>
  <si>
    <t>25</t>
  </si>
  <si>
    <t>24</t>
  </si>
  <si>
    <t>legop2x5_red</t>
  </si>
  <si>
    <t>legop1x4_red</t>
  </si>
  <si>
    <t>18</t>
  </si>
  <si>
    <t>legop1x3_red</t>
  </si>
  <si>
    <t>17</t>
  </si>
  <si>
    <t>16</t>
  </si>
  <si>
    <t>legop1x2_red</t>
  </si>
  <si>
    <t>lego2x3_red</t>
  </si>
  <si>
    <t>13</t>
  </si>
  <si>
    <t>legop2x2_red</t>
  </si>
  <si>
    <t>12</t>
  </si>
  <si>
    <t>lego_wheel</t>
  </si>
  <si>
    <t>11</t>
  </si>
  <si>
    <t>wheel_connector</t>
  </si>
  <si>
    <t>10</t>
  </si>
  <si>
    <t>lego1x2_red</t>
  </si>
  <si>
    <t>9</t>
  </si>
  <si>
    <t>1x2_2x2_bracket</t>
  </si>
  <si>
    <t>8</t>
  </si>
  <si>
    <t>legop2x3_red</t>
  </si>
  <si>
    <t>7</t>
  </si>
  <si>
    <t>legop2x4_red</t>
  </si>
  <si>
    <t>6</t>
  </si>
  <si>
    <r>
      <t xml:space="preserve">Brick with Hole for </t>
    </r>
    <r>
      <rPr>
        <sz val="12"/>
        <color theme="1"/>
        <rFont val="SWGDT"/>
      </rPr>
      <t xml:space="preserve">
</t>
    </r>
    <r>
      <rPr>
        <sz val="12"/>
        <color theme="1"/>
        <rFont val="Century Gothic"/>
        <family val="2"/>
      </rPr>
      <t>Worm Screw 6L</t>
    </r>
  </si>
  <si>
    <t>5</t>
  </si>
  <si>
    <t>lego2x2_smooth_flat</t>
  </si>
  <si>
    <t>4</t>
  </si>
  <si>
    <t>lego2x4_smooth_flat</t>
  </si>
  <si>
    <t>3</t>
  </si>
  <si>
    <t>lego2x6_red</t>
  </si>
  <si>
    <t>2</t>
  </si>
  <si>
    <t>1</t>
  </si>
  <si>
    <t>QTY.</t>
  </si>
  <si>
    <t>PART NUMBER</t>
  </si>
  <si>
    <t>ITEM NO.</t>
  </si>
  <si>
    <t>Bricklink</t>
  </si>
  <si>
    <t>lego2x8_red</t>
  </si>
  <si>
    <t>https://www.bricklink.com/v2/catalog/catalogitem.page?P=2456</t>
  </si>
  <si>
    <t>https://www.bricklink.com/v2/catalog/catalogitem.page?P=87079</t>
  </si>
  <si>
    <t>https://www.bricklink.com/v2/catalog/catalogitem.page?P=3068</t>
  </si>
  <si>
    <t>https://www.bricklink.com/v2/catalog/catalogitem.page?P=3020</t>
  </si>
  <si>
    <t>https://www.bricklink.com/v2/catalog/catalogitem.page?P=3021</t>
  </si>
  <si>
    <t>https://www.bricklink.com/v2/catalog/catalogitem.page?P=3004</t>
  </si>
  <si>
    <t>https://www.bricklink.com/v2/catalog/catalogitem.page?P=3022</t>
  </si>
  <si>
    <t>https://www.bricklink.com/v2/catalog/catalogitem.page?P=3002</t>
  </si>
  <si>
    <t>https://www.bricklink.com/v2/catalog/catalogitem.page?P=3023</t>
  </si>
  <si>
    <t>https://www.bricklink.com/v2/catalog/catalogitem.page?P=3710</t>
  </si>
  <si>
    <t>https://www.bricklink.com/v2/catalog/catalogitem.page?P=3623</t>
  </si>
  <si>
    <t>https://www.bricklink.com/v2/catalog/catalogitem.page?P=78329</t>
  </si>
  <si>
    <t>https://www.bricklink.com/v2/catalog/catalogitem.page?P=3001</t>
  </si>
  <si>
    <t>https://www.bricklink.com/v2/catalog/catalogitem.page?P=3795</t>
  </si>
  <si>
    <t>https://www.bricklink.com/v2/catalog/catalogitem.page?P=3700</t>
  </si>
  <si>
    <t>https://www.bricklink.com/v2/catalog/catalogitem.page?P=3003</t>
  </si>
  <si>
    <t>https://www.bricklink.com/v2/catalog/catalogitem.page?P=3009</t>
  </si>
  <si>
    <t>https://www.bricklink.com/v2/catalog/catalogitem.page?P=3010</t>
  </si>
  <si>
    <t>https://www.bricklink.com/v2/catalog/catalogitem.page?P=2639</t>
  </si>
  <si>
    <t>https://www.bricklink.com/v2/catalog/catalogitem.page?P=3007</t>
  </si>
  <si>
    <t>https://www.bricklink.com/v2/catalog/catalogitem.page?P=44728</t>
  </si>
  <si>
    <t>NEED TO CHECK HOW MANY INVERTED</t>
  </si>
  <si>
    <t>https://www.bricklink.com/v2/catalog/catalogitem.page?P=73763</t>
  </si>
  <si>
    <t>https://www.bricklink.com/v2/catalog/catalogitem.page?P=43093</t>
  </si>
  <si>
    <t>https://www.bricklink.com/v2/catalog/catalogitem.page?P=60470b</t>
  </si>
  <si>
    <t>https://www.bricklink.com/v2/catalog/catalogitem.page?P=60478</t>
  </si>
  <si>
    <t>https://www.bricklink.com/v2/catalog/catalogitem.page?P=73764</t>
  </si>
  <si>
    <t># Needed</t>
  </si>
  <si>
    <t># Have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</si>
</sst>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1009]* #,##0.00_-;\-[$$-1009]* #,##0.00_-;_-[$$-1009]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Century Gothic"/>
      <family val="2"/>
    </font>
    <font>
      <sz val="12"/>
      <color theme="1"/>
      <name val="SWGDT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2" fillId="2" borderId="0" xfId="0" applyFont="1" applyFill="1"/>
    <xf numFmtId="0" fontId="0" fillId="2" borderId="0" xfId="0" applyFill="1"/>
    <xf numFmtId="44" fontId="0" fillId="2" borderId="0" xfId="1" applyFont="1" applyFill="1"/>
    <xf numFmtId="164" fontId="0" fillId="2" borderId="0" xfId="1" applyNumberFormat="1" applyFont="1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0" xfId="2" applyFill="1"/>
    <xf numFmtId="0" fontId="2" fillId="3" borderId="0" xfId="0" applyFont="1" applyFill="1"/>
    <xf numFmtId="0" fontId="0" fillId="3" borderId="0" xfId="0" applyFill="1"/>
    <xf numFmtId="44" fontId="0" fillId="3" borderId="0" xfId="1" applyFont="1" applyFill="1"/>
    <xf numFmtId="164" fontId="0" fillId="3" borderId="0" xfId="1" applyNumberFormat="1" applyFont="1" applyFill="1"/>
    <xf numFmtId="0" fontId="3" fillId="3" borderId="0" xfId="0" applyFont="1" applyFill="1"/>
    <xf numFmtId="44" fontId="5" fillId="3" borderId="0" xfId="1" applyFont="1" applyFill="1"/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3" borderId="0" xfId="2" applyFill="1"/>
    <xf numFmtId="0" fontId="2" fillId="4" borderId="0" xfId="0" applyFont="1" applyFill="1"/>
    <xf numFmtId="0" fontId="0" fillId="4" borderId="0" xfId="0" applyFill="1"/>
    <xf numFmtId="44" fontId="0" fillId="4" borderId="0" xfId="1" applyFont="1" applyFill="1"/>
    <xf numFmtId="164" fontId="0" fillId="4" borderId="0" xfId="1" applyNumberFormat="1" applyFont="1" applyFill="1"/>
    <xf numFmtId="0" fontId="3" fillId="4" borderId="0" xfId="0" applyFont="1" applyFill="1" applyAlignment="1">
      <alignment wrapText="1"/>
    </xf>
    <xf numFmtId="0" fontId="6" fillId="4" borderId="0" xfId="2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2" applyFill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49" fontId="7" fillId="0" borderId="0" xfId="0" applyNumberFormat="1" applyFont="1" applyAlignment="1">
      <alignment horizontal="center" vertical="center" wrapText="1"/>
    </xf>
    <xf numFmtId="0" fontId="4" fillId="0" borderId="0" xfId="2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C1C1"/>
      <color rgb="FFFF8F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6111249881.html" TargetMode="External"/><Relationship Id="rId2" Type="http://schemas.openxmlformats.org/officeDocument/2006/relationships/hyperlink" Target="https://www.aliexpress.com/item/1005008224603338.html" TargetMode="External"/><Relationship Id="rId1" Type="http://schemas.openxmlformats.org/officeDocument/2006/relationships/hyperlink" Target="https://www.aliexpress.com/item/1005007038367315.html" TargetMode="External"/><Relationship Id="rId5" Type="http://schemas.openxmlformats.org/officeDocument/2006/relationships/hyperlink" Target="https://www.aliexpress.com/item/1005003874936862.html" TargetMode="External"/><Relationship Id="rId4" Type="http://schemas.openxmlformats.org/officeDocument/2006/relationships/hyperlink" Target="https://www.aliexpress.com/item/32844028127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ricklink.com/v2/catalog/catalogitem.page?P=3002" TargetMode="External"/><Relationship Id="rId13" Type="http://schemas.openxmlformats.org/officeDocument/2006/relationships/hyperlink" Target="https://www.bricklink.com/v2/catalog/catalogitem.page?P=3001" TargetMode="External"/><Relationship Id="rId18" Type="http://schemas.openxmlformats.org/officeDocument/2006/relationships/hyperlink" Target="https://www.bricklink.com/v2/catalog/catalogitem.page?P=3010" TargetMode="External"/><Relationship Id="rId26" Type="http://schemas.openxmlformats.org/officeDocument/2006/relationships/hyperlink" Target="https://www.bricklink.com/v2/catalog/catalogitem.page?P=73764" TargetMode="External"/><Relationship Id="rId3" Type="http://schemas.openxmlformats.org/officeDocument/2006/relationships/hyperlink" Target="https://www.bricklink.com/v2/catalog/catalogitem.page?P=3068" TargetMode="External"/><Relationship Id="rId21" Type="http://schemas.openxmlformats.org/officeDocument/2006/relationships/hyperlink" Target="https://www.bricklink.com/v2/catalog/catalogitem.page?P=44728" TargetMode="External"/><Relationship Id="rId7" Type="http://schemas.openxmlformats.org/officeDocument/2006/relationships/hyperlink" Target="https://www.bricklink.com/v2/catalog/catalogitem.page?P=3022" TargetMode="External"/><Relationship Id="rId12" Type="http://schemas.openxmlformats.org/officeDocument/2006/relationships/hyperlink" Target="https://www.bricklink.com/v2/catalog/catalogitem.page?P=78329" TargetMode="External"/><Relationship Id="rId17" Type="http://schemas.openxmlformats.org/officeDocument/2006/relationships/hyperlink" Target="https://www.bricklink.com/v2/catalog/catalogitem.page?P=3009" TargetMode="External"/><Relationship Id="rId25" Type="http://schemas.openxmlformats.org/officeDocument/2006/relationships/hyperlink" Target="https://www.bricklink.com/v2/catalog/catalogitem.page?P=60478" TargetMode="External"/><Relationship Id="rId2" Type="http://schemas.openxmlformats.org/officeDocument/2006/relationships/hyperlink" Target="https://www.bricklink.com/v2/catalog/catalogitem.page?P=2456" TargetMode="External"/><Relationship Id="rId16" Type="http://schemas.openxmlformats.org/officeDocument/2006/relationships/hyperlink" Target="https://www.bricklink.com/v2/catalog/catalogitem.page?P=3003" TargetMode="External"/><Relationship Id="rId20" Type="http://schemas.openxmlformats.org/officeDocument/2006/relationships/hyperlink" Target="https://www.bricklink.com/v2/catalog/catalogitem.page?P=3007" TargetMode="External"/><Relationship Id="rId1" Type="http://schemas.openxmlformats.org/officeDocument/2006/relationships/hyperlink" Target="https://www.bricklink.com/v2/catalog/catalogitem.page?P=87079" TargetMode="External"/><Relationship Id="rId6" Type="http://schemas.openxmlformats.org/officeDocument/2006/relationships/hyperlink" Target="https://www.bricklink.com/v2/catalog/catalogitem.page?P=3004" TargetMode="External"/><Relationship Id="rId11" Type="http://schemas.openxmlformats.org/officeDocument/2006/relationships/hyperlink" Target="https://www.bricklink.com/v2/catalog/catalogitem.page?P=3623" TargetMode="External"/><Relationship Id="rId24" Type="http://schemas.openxmlformats.org/officeDocument/2006/relationships/hyperlink" Target="https://www.bricklink.com/v2/catalog/catalogitem.page?P=60470b" TargetMode="External"/><Relationship Id="rId5" Type="http://schemas.openxmlformats.org/officeDocument/2006/relationships/hyperlink" Target="https://www.bricklink.com/v2/catalog/catalogitem.page?P=3021" TargetMode="External"/><Relationship Id="rId15" Type="http://schemas.openxmlformats.org/officeDocument/2006/relationships/hyperlink" Target="https://www.bricklink.com/v2/catalog/catalogitem.page?P=3700" TargetMode="External"/><Relationship Id="rId23" Type="http://schemas.openxmlformats.org/officeDocument/2006/relationships/hyperlink" Target="https://www.bricklink.com/v2/catalog/catalogitem.page?P=73763" TargetMode="External"/><Relationship Id="rId10" Type="http://schemas.openxmlformats.org/officeDocument/2006/relationships/hyperlink" Target="https://www.bricklink.com/v2/catalog/catalogitem.page?P=3710" TargetMode="External"/><Relationship Id="rId19" Type="http://schemas.openxmlformats.org/officeDocument/2006/relationships/hyperlink" Target="https://www.bricklink.com/v2/catalog/catalogitem.page?P=2639" TargetMode="External"/><Relationship Id="rId4" Type="http://schemas.openxmlformats.org/officeDocument/2006/relationships/hyperlink" Target="https://www.bricklink.com/v2/catalog/catalogitem.page?P=3020" TargetMode="External"/><Relationship Id="rId9" Type="http://schemas.openxmlformats.org/officeDocument/2006/relationships/hyperlink" Target="https://www.bricklink.com/v2/catalog/catalogitem.page?P=3023" TargetMode="External"/><Relationship Id="rId14" Type="http://schemas.openxmlformats.org/officeDocument/2006/relationships/hyperlink" Target="https://www.bricklink.com/v2/catalog/catalogitem.page?P=3795" TargetMode="External"/><Relationship Id="rId22" Type="http://schemas.openxmlformats.org/officeDocument/2006/relationships/hyperlink" Target="https://www.bricklink.com/v2/catalog/catalogitem.page?P=430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00E0-556E-48DA-9036-6ADBC4D5DBF8}">
  <dimension ref="A1:F20"/>
  <sheetViews>
    <sheetView zoomScale="85" zoomScaleNormal="85" workbookViewId="0">
      <pane ySplit="1" topLeftCell="A2" activePane="bottomLeft" state="frozen"/>
      <selection pane="bottomLeft" activeCell="A7" sqref="A7:XFD7"/>
    </sheetView>
  </sheetViews>
  <sheetFormatPr defaultColWidth="0" defaultRowHeight="14.25" x14ac:dyDescent="0.45"/>
  <cols>
    <col min="1" max="1" width="21.33203125" bestFit="1" customWidth="1"/>
    <col min="2" max="2" width="9.06640625" customWidth="1"/>
    <col min="3" max="3" width="9.06640625" style="1" customWidth="1"/>
    <col min="4" max="4" width="9.06640625" style="2" customWidth="1"/>
    <col min="5" max="5" width="9.06640625" customWidth="1"/>
    <col min="6" max="6" width="48.9296875" bestFit="1" customWidth="1"/>
    <col min="7" max="16384" width="9.06640625" hidden="1"/>
  </cols>
  <sheetData>
    <row r="1" spans="1:6" x14ac:dyDescent="0.45">
      <c r="A1" t="s">
        <v>0</v>
      </c>
      <c r="B1" t="s">
        <v>1</v>
      </c>
      <c r="C1" s="1" t="s">
        <v>2</v>
      </c>
      <c r="D1" s="1" t="s">
        <v>3</v>
      </c>
      <c r="E1" t="s">
        <v>7</v>
      </c>
      <c r="F1" t="s">
        <v>4</v>
      </c>
    </row>
    <row r="2" spans="1:6" x14ac:dyDescent="0.45">
      <c r="A2" s="17" t="s">
        <v>5</v>
      </c>
      <c r="B2" s="18"/>
      <c r="C2" s="19"/>
      <c r="D2" s="20"/>
      <c r="E2" s="18"/>
      <c r="F2" s="18"/>
    </row>
    <row r="3" spans="1:6" x14ac:dyDescent="0.45">
      <c r="A3" s="21" t="s">
        <v>8</v>
      </c>
      <c r="B3" s="18">
        <v>1</v>
      </c>
      <c r="C3" s="19">
        <v>25.79</v>
      </c>
      <c r="D3" s="20">
        <f>B3*C3</f>
        <v>25.79</v>
      </c>
      <c r="E3" s="22" t="b">
        <v>0</v>
      </c>
      <c r="F3" s="23" t="s">
        <v>9</v>
      </c>
    </row>
    <row r="4" spans="1:6" x14ac:dyDescent="0.45">
      <c r="A4" s="21" t="s">
        <v>6</v>
      </c>
      <c r="B4" s="18">
        <v>1</v>
      </c>
      <c r="C4" s="19">
        <v>24.01</v>
      </c>
      <c r="D4" s="20">
        <f>B4*C4</f>
        <v>24.01</v>
      </c>
      <c r="E4" s="24" t="b">
        <v>0</v>
      </c>
      <c r="F4" s="23" t="s">
        <v>10</v>
      </c>
    </row>
    <row r="5" spans="1:6" x14ac:dyDescent="0.45">
      <c r="A5" s="18" t="s">
        <v>25</v>
      </c>
      <c r="B5" s="18">
        <v>1</v>
      </c>
      <c r="C5" s="19">
        <v>23.79</v>
      </c>
      <c r="D5" s="20">
        <f>C5*B5</f>
        <v>23.79</v>
      </c>
      <c r="E5" s="24" t="b">
        <v>0</v>
      </c>
      <c r="F5" s="18" t="s">
        <v>24</v>
      </c>
    </row>
    <row r="7" spans="1:6" x14ac:dyDescent="0.45">
      <c r="A7" s="3" t="s">
        <v>12</v>
      </c>
      <c r="B7" s="4"/>
      <c r="C7" s="5"/>
      <c r="D7" s="6"/>
      <c r="E7" s="4"/>
      <c r="F7" s="4"/>
    </row>
    <row r="8" spans="1:6" x14ac:dyDescent="0.45">
      <c r="A8" s="4" t="s">
        <v>22</v>
      </c>
      <c r="B8" s="4">
        <v>4</v>
      </c>
      <c r="C8" s="5">
        <v>7.94</v>
      </c>
      <c r="D8" s="6">
        <f t="shared" ref="D8" si="0">B8*C8</f>
        <v>31.76</v>
      </c>
      <c r="E8" s="7" t="b">
        <v>1</v>
      </c>
      <c r="F8" s="8" t="s">
        <v>11</v>
      </c>
    </row>
    <row r="10" spans="1:6" x14ac:dyDescent="0.45">
      <c r="A10" s="9" t="s">
        <v>13</v>
      </c>
      <c r="B10" s="10"/>
      <c r="C10" s="11"/>
      <c r="D10" s="12"/>
      <c r="E10" s="10"/>
      <c r="F10" s="10"/>
    </row>
    <row r="11" spans="1:6" x14ac:dyDescent="0.45">
      <c r="A11" s="13" t="s">
        <v>14</v>
      </c>
      <c r="B11" s="10">
        <v>1</v>
      </c>
      <c r="C11" s="14">
        <v>14.67</v>
      </c>
      <c r="D11" s="12">
        <f>B11*C11</f>
        <v>14.67</v>
      </c>
      <c r="E11" s="15" t="b">
        <v>1</v>
      </c>
      <c r="F11" s="16" t="s">
        <v>15</v>
      </c>
    </row>
    <row r="12" spans="1:6" s="10" customFormat="1" x14ac:dyDescent="0.45">
      <c r="A12" s="10" t="s">
        <v>21</v>
      </c>
      <c r="B12" s="10">
        <v>1</v>
      </c>
      <c r="C12" s="11">
        <v>6.19</v>
      </c>
      <c r="D12" s="12">
        <f>C12*B12</f>
        <v>6.19</v>
      </c>
      <c r="E12" s="15" t="b">
        <v>0</v>
      </c>
      <c r="F12" s="16" t="s">
        <v>23</v>
      </c>
    </row>
    <row r="13" spans="1:6" x14ac:dyDescent="0.45">
      <c r="A13" s="10" t="s">
        <v>26</v>
      </c>
      <c r="B13" s="10">
        <v>1</v>
      </c>
      <c r="C13" s="11">
        <v>7.03</v>
      </c>
      <c r="D13" s="12">
        <f t="shared" ref="D13" si="1">B13*C13</f>
        <v>7.03</v>
      </c>
      <c r="E13" s="15" t="b">
        <v>0</v>
      </c>
      <c r="F13" s="10" t="s">
        <v>27</v>
      </c>
    </row>
    <row r="14" spans="1:6" x14ac:dyDescent="0.45">
      <c r="C14"/>
      <c r="D14"/>
    </row>
    <row r="15" spans="1:6" x14ac:dyDescent="0.45">
      <c r="A15" t="s">
        <v>16</v>
      </c>
      <c r="D15" s="2">
        <f>SUM(D3:D13)</f>
        <v>133.24</v>
      </c>
    </row>
    <row r="17" spans="1:4" x14ac:dyDescent="0.45">
      <c r="A17" t="s">
        <v>18</v>
      </c>
      <c r="D17" s="2">
        <f>SUMIFS(D3:D13,E3:E13,TRUE)</f>
        <v>46.43</v>
      </c>
    </row>
    <row r="18" spans="1:4" x14ac:dyDescent="0.45">
      <c r="A18" t="s">
        <v>19</v>
      </c>
      <c r="D18" s="2">
        <f>D15-D17</f>
        <v>86.81</v>
      </c>
    </row>
    <row r="19" spans="1:4" x14ac:dyDescent="0.45">
      <c r="A19" t="s">
        <v>17</v>
      </c>
      <c r="D19" s="2">
        <f>D18*0.13</f>
        <v>11.285300000000001</v>
      </c>
    </row>
    <row r="20" spans="1:4" x14ac:dyDescent="0.45">
      <c r="A20" t="s">
        <v>20</v>
      </c>
      <c r="D20" s="2">
        <f>D18+D19</f>
        <v>98.095300000000009</v>
      </c>
    </row>
  </sheetData>
  <hyperlinks>
    <hyperlink ref="F3" r:id="rId1" xr:uid="{A3995EEE-1759-4C86-98D6-DFEAD37C43E2}"/>
    <hyperlink ref="F4" r:id="rId2" xr:uid="{0408EDD3-F925-499A-8118-AC3EBC8F40C7}"/>
    <hyperlink ref="F8" r:id="rId3" xr:uid="{A6E28D7D-7E0B-4C6F-BE7F-37CFED412A76}"/>
    <hyperlink ref="F11" r:id="rId4" xr:uid="{4221E09E-D09B-4A82-A8A1-EA7EF10AA021}"/>
    <hyperlink ref="F12" r:id="rId5" xr:uid="{2CACAE13-46CF-4C5B-A3A9-221B36B535A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EAF09-BA89-4E2F-B4BE-5324A1FD6D7F}">
  <dimension ref="A1:F29"/>
  <sheetViews>
    <sheetView tabSelected="1" zoomScaleNormal="100" workbookViewId="0">
      <selection activeCell="E1" sqref="E1"/>
    </sheetView>
  </sheetViews>
  <sheetFormatPr defaultRowHeight="14.25" x14ac:dyDescent="0.45"/>
  <cols>
    <col min="1" max="1" width="10" style="25" bestFit="1" customWidth="1"/>
    <col min="2" max="2" width="23.796875" bestFit="1" customWidth="1"/>
    <col min="3" max="3" width="5.3984375" bestFit="1" customWidth="1"/>
    <col min="4" max="4" width="54" bestFit="1" customWidth="1"/>
    <col min="5" max="5" width="14" customWidth="1"/>
  </cols>
  <sheetData>
    <row r="1" spans="1:6" ht="15.4" x14ac:dyDescent="0.45">
      <c r="A1" s="28" t="s">
        <v>85</v>
      </c>
      <c r="B1" s="26" t="s">
        <v>84</v>
      </c>
      <c r="C1" s="26" t="s">
        <v>83</v>
      </c>
      <c r="D1" t="s">
        <v>86</v>
      </c>
      <c r="E1" t="s">
        <v>116</v>
      </c>
      <c r="F1" t="s">
        <v>115</v>
      </c>
    </row>
    <row r="2" spans="1:6" ht="15.4" x14ac:dyDescent="0.45">
      <c r="A2" s="28" t="s">
        <v>82</v>
      </c>
      <c r="B2" s="27" t="s">
        <v>80</v>
      </c>
      <c r="C2" s="26">
        <v>48</v>
      </c>
      <c r="D2" s="29" t="s">
        <v>88</v>
      </c>
    </row>
    <row r="3" spans="1:6" ht="15.4" x14ac:dyDescent="0.45">
      <c r="A3" s="28" t="s">
        <v>81</v>
      </c>
      <c r="B3" s="27" t="s">
        <v>78</v>
      </c>
      <c r="C3" s="26">
        <v>4</v>
      </c>
      <c r="D3" s="29" t="s">
        <v>89</v>
      </c>
    </row>
    <row r="4" spans="1:6" ht="15.4" x14ac:dyDescent="0.45">
      <c r="A4" s="28" t="s">
        <v>79</v>
      </c>
      <c r="B4" s="27" t="s">
        <v>76</v>
      </c>
      <c r="C4" s="26">
        <v>1</v>
      </c>
      <c r="D4" s="29" t="s">
        <v>90</v>
      </c>
    </row>
    <row r="5" spans="1:6" ht="32.25" x14ac:dyDescent="0.45">
      <c r="A5" s="28" t="s">
        <v>77</v>
      </c>
      <c r="B5" s="27" t="s">
        <v>74</v>
      </c>
      <c r="C5" s="26">
        <v>6</v>
      </c>
      <c r="D5" s="29" t="s">
        <v>114</v>
      </c>
    </row>
    <row r="6" spans="1:6" ht="15.4" x14ac:dyDescent="0.45">
      <c r="A6" s="28" t="s">
        <v>75</v>
      </c>
      <c r="B6" s="27" t="s">
        <v>72</v>
      </c>
      <c r="C6" s="26">
        <v>30</v>
      </c>
      <c r="D6" s="29" t="s">
        <v>91</v>
      </c>
    </row>
    <row r="7" spans="1:6" ht="15.4" x14ac:dyDescent="0.45">
      <c r="A7" s="28" t="s">
        <v>73</v>
      </c>
      <c r="B7" s="27" t="s">
        <v>70</v>
      </c>
      <c r="C7" s="26">
        <v>6</v>
      </c>
      <c r="D7" s="29" t="s">
        <v>92</v>
      </c>
    </row>
    <row r="8" spans="1:6" ht="15.4" x14ac:dyDescent="0.45">
      <c r="A8" s="28" t="s">
        <v>71</v>
      </c>
      <c r="B8" s="27" t="s">
        <v>68</v>
      </c>
      <c r="C8" s="26">
        <v>25</v>
      </c>
      <c r="D8" s="29" t="s">
        <v>108</v>
      </c>
      <c r="E8" t="s">
        <v>109</v>
      </c>
    </row>
    <row r="9" spans="1:6" ht="15.4" x14ac:dyDescent="0.45">
      <c r="A9" s="28" t="s">
        <v>69</v>
      </c>
      <c r="B9" s="27" t="s">
        <v>66</v>
      </c>
      <c r="C9" s="26">
        <v>11</v>
      </c>
      <c r="D9" s="29" t="s">
        <v>93</v>
      </c>
    </row>
    <row r="10" spans="1:6" ht="15.4" x14ac:dyDescent="0.45">
      <c r="A10" s="28" t="s">
        <v>67</v>
      </c>
      <c r="B10" s="27" t="s">
        <v>64</v>
      </c>
      <c r="C10" s="26">
        <v>15</v>
      </c>
    </row>
    <row r="11" spans="1:6" ht="15.4" x14ac:dyDescent="0.45">
      <c r="A11" s="28" t="s">
        <v>65</v>
      </c>
      <c r="B11" s="27" t="s">
        <v>62</v>
      </c>
      <c r="C11" s="26">
        <v>14</v>
      </c>
    </row>
    <row r="12" spans="1:6" ht="15.4" x14ac:dyDescent="0.45">
      <c r="A12" s="28" t="s">
        <v>63</v>
      </c>
      <c r="B12" s="27" t="s">
        <v>60</v>
      </c>
      <c r="C12" s="26">
        <v>18</v>
      </c>
      <c r="D12" s="29" t="s">
        <v>94</v>
      </c>
    </row>
    <row r="13" spans="1:6" ht="15.4" x14ac:dyDescent="0.45">
      <c r="A13" s="28" t="s">
        <v>61</v>
      </c>
      <c r="B13" s="27" t="s">
        <v>58</v>
      </c>
      <c r="C13" s="26">
        <v>12</v>
      </c>
      <c r="D13" s="29" t="s">
        <v>95</v>
      </c>
    </row>
    <row r="14" spans="1:6" ht="15.4" x14ac:dyDescent="0.45">
      <c r="A14" s="28" t="s">
        <v>59</v>
      </c>
      <c r="B14" s="27" t="s">
        <v>57</v>
      </c>
      <c r="C14" s="26">
        <v>20</v>
      </c>
      <c r="D14" s="29" t="s">
        <v>96</v>
      </c>
    </row>
    <row r="15" spans="1:6" ht="15.4" x14ac:dyDescent="0.45">
      <c r="A15" s="28" t="s">
        <v>56</v>
      </c>
      <c r="B15" s="27" t="s">
        <v>54</v>
      </c>
      <c r="C15" s="26">
        <v>1</v>
      </c>
      <c r="D15" s="29" t="s">
        <v>98</v>
      </c>
    </row>
    <row r="16" spans="1:6" ht="15.4" x14ac:dyDescent="0.45">
      <c r="A16" s="28" t="s">
        <v>55</v>
      </c>
      <c r="B16" s="27" t="s">
        <v>52</v>
      </c>
      <c r="C16" s="26">
        <v>3</v>
      </c>
      <c r="D16" s="29" t="s">
        <v>97</v>
      </c>
    </row>
    <row r="17" spans="1:4" ht="15.4" x14ac:dyDescent="0.45">
      <c r="A17" s="28" t="s">
        <v>53</v>
      </c>
      <c r="B17" s="27" t="s">
        <v>51</v>
      </c>
      <c r="C17" s="26">
        <v>4</v>
      </c>
      <c r="D17" s="29" t="s">
        <v>99</v>
      </c>
    </row>
    <row r="18" spans="1:4" ht="15.4" x14ac:dyDescent="0.45">
      <c r="A18" s="28" t="s">
        <v>50</v>
      </c>
      <c r="B18" s="27" t="s">
        <v>48</v>
      </c>
      <c r="C18" s="26">
        <v>37</v>
      </c>
      <c r="D18" s="29" t="s">
        <v>100</v>
      </c>
    </row>
    <row r="19" spans="1:4" ht="15.4" x14ac:dyDescent="0.45">
      <c r="A19" s="28" t="s">
        <v>49</v>
      </c>
      <c r="B19" s="27" t="s">
        <v>47</v>
      </c>
      <c r="C19" s="26">
        <v>16</v>
      </c>
      <c r="D19" s="29" t="s">
        <v>101</v>
      </c>
    </row>
    <row r="20" spans="1:4" ht="32.25" x14ac:dyDescent="0.45">
      <c r="A20" s="28" t="s">
        <v>46</v>
      </c>
      <c r="B20" s="27" t="s">
        <v>44</v>
      </c>
      <c r="C20" s="26">
        <v>13</v>
      </c>
      <c r="D20" s="29" t="s">
        <v>110</v>
      </c>
    </row>
    <row r="21" spans="1:4" ht="15.4" x14ac:dyDescent="0.45">
      <c r="A21" s="28" t="s">
        <v>45</v>
      </c>
      <c r="B21" s="27" t="s">
        <v>42</v>
      </c>
      <c r="C21" s="26">
        <v>4</v>
      </c>
      <c r="D21" s="29" t="s">
        <v>111</v>
      </c>
    </row>
    <row r="22" spans="1:4" ht="15.4" x14ac:dyDescent="0.45">
      <c r="A22" s="28" t="s">
        <v>43</v>
      </c>
      <c r="B22" s="27" t="s">
        <v>41</v>
      </c>
      <c r="C22" s="26">
        <v>6</v>
      </c>
      <c r="D22" s="29" t="s">
        <v>102</v>
      </c>
    </row>
    <row r="23" spans="1:4" ht="15.4" x14ac:dyDescent="0.45">
      <c r="A23" s="28" t="s">
        <v>40</v>
      </c>
      <c r="B23" s="27" t="s">
        <v>38</v>
      </c>
      <c r="C23" s="26">
        <v>10</v>
      </c>
      <c r="D23" s="29" t="s">
        <v>103</v>
      </c>
    </row>
    <row r="24" spans="1:4" ht="15.4" x14ac:dyDescent="0.45">
      <c r="A24" s="28" t="s">
        <v>39</v>
      </c>
      <c r="B24" s="27" t="s">
        <v>36</v>
      </c>
      <c r="C24" s="26">
        <v>1</v>
      </c>
      <c r="D24" s="29" t="s">
        <v>104</v>
      </c>
    </row>
    <row r="25" spans="1:4" ht="15.4" x14ac:dyDescent="0.45">
      <c r="A25" s="28" t="s">
        <v>37</v>
      </c>
      <c r="B25" s="27" t="s">
        <v>35</v>
      </c>
      <c r="C25" s="26">
        <v>1</v>
      </c>
      <c r="D25" s="29" t="s">
        <v>105</v>
      </c>
    </row>
    <row r="26" spans="1:4" ht="15.4" x14ac:dyDescent="0.45">
      <c r="A26" s="28" t="s">
        <v>34</v>
      </c>
      <c r="B26" s="27" t="s">
        <v>32</v>
      </c>
      <c r="C26" s="26">
        <v>2</v>
      </c>
      <c r="D26" s="29" t="s">
        <v>106</v>
      </c>
    </row>
    <row r="27" spans="1:4" ht="15.4" x14ac:dyDescent="0.45">
      <c r="A27" s="28" t="s">
        <v>33</v>
      </c>
      <c r="B27" s="27" t="s">
        <v>30</v>
      </c>
      <c r="C27" s="26">
        <v>1</v>
      </c>
      <c r="D27" s="29" t="s">
        <v>112</v>
      </c>
    </row>
    <row r="28" spans="1:4" ht="15.4" x14ac:dyDescent="0.45">
      <c r="A28" s="28" t="s">
        <v>31</v>
      </c>
      <c r="B28" s="27" t="s">
        <v>29</v>
      </c>
      <c r="C28" s="26">
        <v>1</v>
      </c>
      <c r="D28" s="29" t="s">
        <v>113</v>
      </c>
    </row>
    <row r="29" spans="1:4" ht="15.4" x14ac:dyDescent="0.45">
      <c r="A29" s="28" t="s">
        <v>28</v>
      </c>
      <c r="B29" s="27" t="s">
        <v>87</v>
      </c>
      <c r="C29" s="26">
        <v>2</v>
      </c>
      <c r="D29" s="29" t="s">
        <v>107</v>
      </c>
    </row>
  </sheetData>
  <hyperlinks>
    <hyperlink ref="D3" r:id="rId1" xr:uid="{6C3C53CA-1E14-4190-AC13-9189817CEF8F}"/>
    <hyperlink ref="D2" r:id="rId2" xr:uid="{9441040E-EA9A-456D-AC3B-228B0167DA60}"/>
    <hyperlink ref="D4" r:id="rId3" xr:uid="{B4F75F3E-8F01-4641-8441-572CA0332314}"/>
    <hyperlink ref="D6" r:id="rId4" xr:uid="{0BDB716C-8818-4949-91A4-C5FE8EA493E2}"/>
    <hyperlink ref="D7" r:id="rId5" xr:uid="{D66FD714-182C-4D45-9AA6-C9638D4A9CA2}"/>
    <hyperlink ref="D9" r:id="rId6" xr:uid="{F07DCE8C-2BF5-4FC5-92C9-9F52F4F9D273}"/>
    <hyperlink ref="D12" r:id="rId7" xr:uid="{1D785331-9977-4C0C-85A8-591CCC942060}"/>
    <hyperlink ref="D13" r:id="rId8" xr:uid="{C129F461-B731-42DB-A1CD-0C6D588BEE3D}"/>
    <hyperlink ref="D14" r:id="rId9" xr:uid="{4F932D1F-419F-494A-99B8-1C9E32890F7C}"/>
    <hyperlink ref="D16" r:id="rId10" xr:uid="{9FEB77A8-84C1-4E8F-8EB9-FFC0C04D4095}"/>
    <hyperlink ref="D15" r:id="rId11" xr:uid="{55BCBA33-23D4-4BA4-BAB3-A9A597209A1B}"/>
    <hyperlink ref="D17" r:id="rId12" xr:uid="{B597B477-DE4A-4207-BA2D-C045C1585AAF}"/>
    <hyperlink ref="D18" r:id="rId13" xr:uid="{ABE0C94C-AF79-4DE1-A1EB-07B5A7138CE3}"/>
    <hyperlink ref="D19" r:id="rId14" xr:uid="{E07814CA-D017-4AB4-B7D9-E94357D6237D}"/>
    <hyperlink ref="D22" r:id="rId15" xr:uid="{C7FAD275-0690-4777-8F98-DDFBBE9C9F04}"/>
    <hyperlink ref="D23" r:id="rId16" xr:uid="{82012491-E67C-43BD-B524-A7326201A971}"/>
    <hyperlink ref="D24" r:id="rId17" xr:uid="{053E921B-3913-4CC1-8CEA-7C9E17D81AB5}"/>
    <hyperlink ref="D25" r:id="rId18" xr:uid="{5FB6AAFF-38C1-45E9-B6BA-DEE3A8C4A442}"/>
    <hyperlink ref="D26" r:id="rId19" xr:uid="{FF265E5C-7DFF-441C-A4F8-94D7A544F820}"/>
    <hyperlink ref="D29" r:id="rId20" xr:uid="{9BB5DFF6-FE91-4F6F-BF44-B622A11B7FC0}"/>
    <hyperlink ref="D8" r:id="rId21" xr:uid="{477D9045-8750-48D4-8C46-3D15F2369764}"/>
    <hyperlink ref="D21" r:id="rId22" xr:uid="{D22393AC-7F78-4041-806E-6D2B6F6DF870}"/>
    <hyperlink ref="D20" r:id="rId23" xr:uid="{357FD862-4A22-42B2-BE66-B0C292B073F8}"/>
    <hyperlink ref="D27" r:id="rId24" xr:uid="{32619FEF-A988-4AFA-AD79-4C03898FCE29}"/>
    <hyperlink ref="D28" r:id="rId25" xr:uid="{68D25DFF-5DA6-435E-9E4A-E341EDD0A87C}"/>
    <hyperlink ref="D5" r:id="rId26" xr:uid="{36D58906-9761-47B7-92FB-F31BC23FCE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Off the shelf parts</vt:lpstr>
      <vt:lpstr>LEGO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Turaj</dc:creator>
  <cp:lastModifiedBy>Adam Turaj</cp:lastModifiedBy>
  <dcterms:created xsi:type="dcterms:W3CDTF">2026-02-13T18:50:37Z</dcterms:created>
  <dcterms:modified xsi:type="dcterms:W3CDTF">2026-03-08T05:48:25Z</dcterms:modified>
</cp:coreProperties>
</file>